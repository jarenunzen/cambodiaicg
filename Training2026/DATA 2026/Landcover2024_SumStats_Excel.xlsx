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niversitysystemnh-my.sharepoint.com/personal/btc28_usnh_edu/Documents/Desktop/DAY 3 Landscape Structure/Part 2/"/>
    </mc:Choice>
  </mc:AlternateContent>
  <xr:revisionPtr revIDLastSave="575" documentId="8_{7CB3EB63-F075-4BC3-BA63-D4F5B0298EF5}" xr6:coauthVersionLast="47" xr6:coauthVersionMax="47" xr10:uidLastSave="{25413753-568C-45C3-B739-D9438E8525C7}"/>
  <bookViews>
    <workbookView xWindow="-98" yWindow="-98" windowWidth="24196" windowHeight="14476" activeTab="5" xr2:uid="{217D4F1C-9163-471D-BC6E-EFE8298F5699}"/>
  </bookViews>
  <sheets>
    <sheet name="Fragmentation_2017" sheetId="7" r:id="rId1"/>
    <sheet name="Fragmentation_2024" sheetId="2" r:id="rId2"/>
    <sheet name="NUMP" sheetId="1" r:id="rId3"/>
    <sheet name="ANOVA output" sheetId="8" r:id="rId4"/>
    <sheet name="Plots" sheetId="4" r:id="rId5"/>
    <sheet name="Fragmentation Interpretation"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9" l="1"/>
  <c r="K3" i="2"/>
  <c r="J3" i="2"/>
  <c r="P11" i="9"/>
  <c r="P12" i="9"/>
  <c r="P13" i="9"/>
  <c r="P14" i="9"/>
  <c r="P15" i="9"/>
  <c r="P10" i="9"/>
  <c r="L14" i="9"/>
  <c r="L15" i="9"/>
  <c r="L13" i="9"/>
  <c r="L12" i="9"/>
  <c r="L11" i="9"/>
  <c r="L8" i="7" l="1"/>
  <c r="J8" i="7"/>
  <c r="K8" i="7" s="1"/>
  <c r="L7" i="7"/>
  <c r="J7" i="7"/>
  <c r="K7" i="7" s="1"/>
  <c r="L6" i="7"/>
  <c r="J6" i="7"/>
  <c r="K6" i="7" s="1"/>
  <c r="L5" i="7"/>
  <c r="J5" i="7"/>
  <c r="K5" i="7" s="1"/>
  <c r="L4" i="7"/>
  <c r="J4" i="7"/>
  <c r="K4" i="7" s="1"/>
  <c r="L3" i="7"/>
  <c r="J3" i="7"/>
  <c r="K3" i="7" s="1"/>
  <c r="L2" i="7"/>
  <c r="L3" i="2"/>
  <c r="L4" i="2"/>
  <c r="L5" i="2"/>
  <c r="L6" i="2"/>
  <c r="L7" i="2"/>
  <c r="L8" i="2"/>
  <c r="L2" i="2"/>
  <c r="J4" i="2"/>
  <c r="K4" i="2"/>
  <c r="J5" i="2"/>
  <c r="K5" i="2"/>
  <c r="J6" i="2"/>
  <c r="K6" i="2"/>
  <c r="J7" i="2"/>
  <c r="K7" i="2"/>
  <c r="J8" i="2"/>
  <c r="K8" i="2"/>
</calcChain>
</file>

<file path=xl/sharedStrings.xml><?xml version="1.0" encoding="utf-8"?>
<sst xmlns="http://schemas.openxmlformats.org/spreadsheetml/2006/main" count="159" uniqueCount="64">
  <si>
    <t>Recode</t>
  </si>
  <si>
    <t>ClassName</t>
  </si>
  <si>
    <t>Forest</t>
  </si>
  <si>
    <t>Grassland</t>
  </si>
  <si>
    <t>FREQUENCY</t>
  </si>
  <si>
    <t>SUM_PatchArea_ha</t>
  </si>
  <si>
    <t>SUM_EdgeLength_m</t>
  </si>
  <si>
    <t>COUNT_PatchArea_ha</t>
  </si>
  <si>
    <t>MEAN_PatchArea_ha</t>
  </si>
  <si>
    <t>PatchDensity</t>
  </si>
  <si>
    <t>EdgeDensity</t>
  </si>
  <si>
    <t>FI</t>
  </si>
  <si>
    <t>FIS</t>
  </si>
  <si>
    <t>Number of Patches per Hectare</t>
  </si>
  <si>
    <t>Notes:</t>
  </si>
  <si>
    <t>Interpretation:</t>
  </si>
  <si>
    <t xml:space="preserve">Fragmentation Index: higher FI = greater fragmentation as it reflects the effect of patch quantity and patch configuration (edges) </t>
  </si>
  <si>
    <t>Fragmentation Index with Size: higher FIS = greater fragmentation as it reflects that of FI with the addition of patch size (MPA)</t>
  </si>
  <si>
    <t>We can use the percent changes among classes and between years to make more absolute comparisons since our metrics are relative to eachother</t>
  </si>
  <si>
    <t>FIS units will be = ((patch count * m) / ha^2)+(1/ha)</t>
  </si>
  <si>
    <t>FI units will be = (patch count * m) / ha^2</t>
  </si>
  <si>
    <t xml:space="preserve">By keeping these units concistent across cover types within each different index, we can compare the FI values among cover types. We can also compare the FIS values among cover types. </t>
  </si>
  <si>
    <t xml:space="preserve">However, we can not compare FI or FIS values of this study to other fragmentation indices in other studies unless the units are the same. </t>
  </si>
  <si>
    <t>In other words, our metrics are relative measures not absolute measures of fragmentation.</t>
  </si>
  <si>
    <t>2016-2024</t>
  </si>
  <si>
    <t>Percent Change in Fragmentation (FI) Between Years</t>
  </si>
  <si>
    <t>Percent Change in Fragmentation (FIS) Between Years</t>
  </si>
  <si>
    <t>Interpretation</t>
  </si>
  <si>
    <t>Same trend as FI.</t>
  </si>
  <si>
    <t>Class Name</t>
  </si>
  <si>
    <t>MPA (ha)</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</si>
  <si>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</si>
  <si>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</si>
  <si>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</si>
  <si>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</si>
  <si>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</si>
  <si>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</si>
  <si>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</si>
  <si>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</si>
  <si>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</si>
  <si>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</si>
  <si>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</si>
  <si>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</si>
  <si>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</si>
  <si>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</si>
  <si>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</si>
  <si>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</si>
  <si>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</si>
  <si>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</si>
  <si>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OBJECTID *</t>
  </si>
  <si>
    <t>classes</t>
  </si>
  <si>
    <t>Crop</t>
  </si>
  <si>
    <t>Developed</t>
  </si>
  <si>
    <t>Open Forest</t>
  </si>
  <si>
    <t>Water</t>
  </si>
  <si>
    <t>Highly Fragmented</t>
  </si>
  <si>
    <t>Very Highly Fragmented</t>
  </si>
  <si>
    <t xml:space="preserve">Between '16 and '24, cropland becomes overall 23% more fragmented. </t>
  </si>
  <si>
    <t>Between '16 and '24, developed becomes overall 88% less fragmented.</t>
  </si>
  <si>
    <t xml:space="preserve">Between '16 and '24,  forest becomes overall 13% less fragmented. </t>
  </si>
  <si>
    <t>Grassland becomes overall 51% more fragmented between '16 and '24.</t>
  </si>
  <si>
    <t>Open Forest becomes 25% less fragmented between 16' and 24'</t>
  </si>
  <si>
    <t>Water becomes 92% less fragmented between 16' and 24'.</t>
  </si>
  <si>
    <t xml:space="preserve"> Bu then between '16 and '24 the grassland becomes 16% less fragmented. The difference between grassland trends in FIS and FI are presumably due to the mean patch sizes of grassland. With less fragmentation ocurring within FIS metric, this could mean that the mean patch size of grasslands are increasing between '16 and '24.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</si>
</sst>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4"/>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0.249977111117893"/>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13" xfId="0" applyBorder="1"/>
    <xf numFmtId="0" fontId="0" fillId="0" borderId="14" xfId="0" applyBorder="1"/>
    <xf numFmtId="0" fontId="0" fillId="0" borderId="15" xfId="0" applyBorder="1"/>
    <xf numFmtId="0" fontId="0" fillId="0" borderId="0" xfId="0" applyAlignment="1">
      <alignment wrapText="1"/>
    </xf>
    <xf numFmtId="0" fontId="0" fillId="0" borderId="0" xfId="0" applyAlignment="1">
      <alignment vertical="top" wrapText="1"/>
    </xf>
    <xf numFmtId="0" fontId="16" fillId="33" borderId="0" xfId="0" applyFont="1" applyFill="1"/>
    <xf numFmtId="0" fontId="16" fillId="0" borderId="21" xfId="0" applyFont="1" applyBorder="1"/>
    <xf numFmtId="0" fontId="0" fillId="0" borderId="21" xfId="0" applyBorder="1"/>
    <xf numFmtId="0" fontId="0" fillId="34" borderId="0" xfId="0" applyFill="1"/>
    <xf numFmtId="0" fontId="16" fillId="35" borderId="21" xfId="0" applyFont="1" applyFill="1" applyBorder="1"/>
    <xf numFmtId="0" fontId="0" fillId="36" borderId="21" xfId="0" applyFill="1" applyBorder="1"/>
    <xf numFmtId="0" fontId="18" fillId="0" borderId="0" xfId="0" applyFont="1"/>
    <xf numFmtId="0" fontId="0" fillId="0" borderId="19" xfId="0" applyBorder="1"/>
    <xf numFmtId="0" fontId="18" fillId="0" borderId="20" xfId="0" applyFont="1" applyBorder="1" applyAlignment="1">
      <alignment horizontal="center"/>
    </xf>
    <xf numFmtId="0" fontId="0" fillId="33" borderId="0" xfId="0" applyFill="1"/>
    <xf numFmtId="0" fontId="14" fillId="0" borderId="0" xfId="0" applyFont="1"/>
    <xf numFmtId="0" fontId="0" fillId="0" borderId="13" xfId="0" applyBorder="1" applyAlignment="1">
      <alignment horizontal="center"/>
    </xf>
    <xf numFmtId="0" fontId="14" fillId="0" borderId="14" xfId="0" applyFont="1" applyBorder="1" applyAlignment="1">
      <alignment horizontal="center"/>
    </xf>
    <xf numFmtId="0" fontId="0" fillId="0" borderId="15" xfId="0" applyBorder="1" applyAlignment="1">
      <alignment horizontal="center"/>
    </xf>
    <xf numFmtId="0" fontId="16" fillId="0" borderId="0" xfId="0" applyFont="1"/>
    <xf numFmtId="0" fontId="0" fillId="0" borderId="21" xfId="0" applyBorder="1" applyAlignment="1">
      <alignment horizontal="left" vertical="center"/>
    </xf>
    <xf numFmtId="2" fontId="0" fillId="0" borderId="21" xfId="0" applyNumberFormat="1" applyBorder="1" applyAlignment="1">
      <alignment horizontal="left" vertical="center"/>
    </xf>
    <xf numFmtId="0" fontId="0" fillId="0" borderId="21" xfId="0" applyBorder="1" applyAlignment="1">
      <alignment horizontal="left" vertical="center" wrapText="1"/>
    </xf>
    <xf numFmtId="0" fontId="0" fillId="0" borderId="21" xfId="0" applyBorder="1" applyAlignment="1">
      <alignment horizontal="left"/>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9" fillId="38" borderId="0" xfId="0" applyFont="1" applyFill="1" applyAlignment="1">
      <alignment horizontal="center"/>
    </xf>
    <xf numFmtId="0" fontId="0" fillId="0" borderId="0" xfId="0" applyAlignment="1">
      <alignment horizontal="left"/>
    </xf>
    <xf numFmtId="0" fontId="19" fillId="37" borderId="16" xfId="0" applyFont="1" applyFill="1" applyBorder="1" applyAlignment="1">
      <alignment horizontal="center"/>
    </xf>
    <xf numFmtId="0" fontId="19" fillId="37" borderId="17" xfId="0" applyFont="1" applyFill="1" applyBorder="1" applyAlignment="1">
      <alignment horizontal="center"/>
    </xf>
    <xf numFmtId="0" fontId="19" fillId="37" borderId="18" xfId="0" applyFont="1" applyFill="1" applyBorder="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8AA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Patches Across Time and Cover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NUMP!$C$2</c:f>
              <c:strCache>
                <c:ptCount val="1"/>
                <c:pt idx="0">
                  <c:v>2017</c:v>
                </c:pt>
              </c:strCache>
            </c:strRef>
          </c:tx>
          <c:spPr>
            <a:solidFill>
              <a:schemeClr val="accent1"/>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NUMP!$C$3:$C$8</c:f>
              <c:numCache>
                <c:formatCode>General</c:formatCode>
                <c:ptCount val="6"/>
                <c:pt idx="0">
                  <c:v>7427</c:v>
                </c:pt>
                <c:pt idx="1">
                  <c:v>19081</c:v>
                </c:pt>
                <c:pt idx="2">
                  <c:v>12023</c:v>
                </c:pt>
                <c:pt idx="3">
                  <c:v>5204</c:v>
                </c:pt>
                <c:pt idx="4">
                  <c:v>22030</c:v>
                </c:pt>
                <c:pt idx="5">
                  <c:v>3940</c:v>
                </c:pt>
              </c:numCache>
            </c:numRef>
          </c:val>
          <c:extLst>
            <c:ext xmlns:c16="http://schemas.microsoft.com/office/drawing/2014/chart" uri="{C3380CC4-5D6E-409C-BE32-E72D297353CC}">
              <c16:uniqueId val="{00000000-6EC6-413D-BA92-6D5283E67175}"/>
            </c:ext>
          </c:extLst>
        </c:ser>
        <c:ser>
          <c:idx val="2"/>
          <c:order val="1"/>
          <c:tx>
            <c:strRef>
              <c:f>NUMP!$D$2</c:f>
              <c:strCache>
                <c:ptCount val="1"/>
                <c:pt idx="0">
                  <c:v>2024</c:v>
                </c:pt>
              </c:strCache>
            </c:strRef>
          </c:tx>
          <c:spPr>
            <a:solidFill>
              <a:schemeClr val="accent3"/>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NUMP!$D$3:$D$8</c:f>
              <c:numCache>
                <c:formatCode>General</c:formatCode>
                <c:ptCount val="6"/>
                <c:pt idx="0">
                  <c:v>8038</c:v>
                </c:pt>
                <c:pt idx="1">
                  <c:v>6637</c:v>
                </c:pt>
                <c:pt idx="2">
                  <c:v>10506</c:v>
                </c:pt>
                <c:pt idx="3">
                  <c:v>5561</c:v>
                </c:pt>
                <c:pt idx="4">
                  <c:v>19628</c:v>
                </c:pt>
                <c:pt idx="5">
                  <c:v>997</c:v>
                </c:pt>
              </c:numCache>
            </c:numRef>
          </c:val>
          <c:extLst>
            <c:ext xmlns:c16="http://schemas.microsoft.com/office/drawing/2014/chart" uri="{C3380CC4-5D6E-409C-BE32-E72D297353CC}">
              <c16:uniqueId val="{00000002-6EC6-413D-BA92-6D5283E67175}"/>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chemeClr val="accent1"/>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NUMP!$C$16:$C$21</c:f>
              <c:numCache>
                <c:formatCode>General</c:formatCode>
                <c:ptCount val="6"/>
                <c:pt idx="0">
                  <c:v>0.47568359349000006</c:v>
                </c:pt>
                <c:pt idx="1">
                  <c:v>0.60295917131999999</c:v>
                </c:pt>
                <c:pt idx="2">
                  <c:v>1.6394227612619998</c:v>
                </c:pt>
                <c:pt idx="3">
                  <c:v>0.17178472821499999</c:v>
                </c:pt>
                <c:pt idx="4">
                  <c:v>4.1887988145639996</c:v>
                </c:pt>
                <c:pt idx="5">
                  <c:v>5.4455053775999997E-2</c:v>
                </c:pt>
              </c:numCache>
            </c:numRef>
          </c:val>
          <c:extLst>
            <c:ext xmlns:c16="http://schemas.microsoft.com/office/drawing/2014/chart" uri="{C3380CC4-5D6E-409C-BE32-E72D297353CC}">
              <c16:uniqueId val="{00000000-6806-4FB3-8A08-F82D3DD379C4}"/>
            </c:ext>
          </c:extLst>
        </c:ser>
        <c:ser>
          <c:idx val="2"/>
          <c:order val="1"/>
          <c:tx>
            <c:strRef>
              <c:f>NUMP!$D$15</c:f>
              <c:strCache>
                <c:ptCount val="1"/>
                <c:pt idx="0">
                  <c:v>2024</c:v>
                </c:pt>
              </c:strCache>
            </c:strRef>
          </c:tx>
          <c:spPr>
            <a:solidFill>
              <a:schemeClr val="accent3"/>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NUMP!$D$16:$D$21</c:f>
              <c:numCache>
                <c:formatCode>General</c:formatCode>
                <c:ptCount val="6"/>
                <c:pt idx="0">
                  <c:v>0.58626871216199994</c:v>
                </c:pt>
                <c:pt idx="1">
                  <c:v>6.7414599936000005E-2</c:v>
                </c:pt>
                <c:pt idx="2">
                  <c:v>1.415728481238</c:v>
                </c:pt>
                <c:pt idx="3">
                  <c:v>0.25958942875399998</c:v>
                </c:pt>
                <c:pt idx="4">
                  <c:v>3.1462369371280001</c:v>
                </c:pt>
                <c:pt idx="5">
                  <c:v>4.2053655420000004E-3</c:v>
                </c:pt>
              </c:numCache>
            </c:numRef>
          </c:val>
          <c:extLst>
            <c:ext xmlns:c16="http://schemas.microsoft.com/office/drawing/2014/chart" uri="{C3380CC4-5D6E-409C-BE32-E72D297353CC}">
              <c16:uniqueId val="{00000001-6806-4FB3-8A08-F82D3DD379C4}"/>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chemeClr val="accent6"/>
            </a:solidFill>
            <a:ln>
              <a:noFill/>
            </a:ln>
            <a:effectLst/>
          </c:spPr>
          <c:invertIfNegative val="0"/>
          <c:cat>
            <c:strRef>
              <c:f>NUMP!$B$18</c:f>
              <c:strCache>
                <c:ptCount val="1"/>
                <c:pt idx="0">
                  <c:v>Forest</c:v>
                </c:pt>
              </c:strCache>
            </c:strRef>
          </c:cat>
          <c:val>
            <c:numRef>
              <c:f>NUMP!$C$31</c:f>
              <c:numCache>
                <c:formatCode>General</c:formatCode>
                <c:ptCount val="1"/>
                <c:pt idx="0">
                  <c:v>1.7410410322271193</c:v>
                </c:pt>
              </c:numCache>
            </c:numRef>
          </c:val>
          <c:extLst>
            <c:ext xmlns:c16="http://schemas.microsoft.com/office/drawing/2014/chart" uri="{C3380CC4-5D6E-409C-BE32-E72D297353CC}">
              <c16:uniqueId val="{00000000-0F34-444B-AF1F-612339111E23}"/>
            </c:ext>
          </c:extLst>
        </c:ser>
        <c:ser>
          <c:idx val="2"/>
          <c:order val="1"/>
          <c:tx>
            <c:strRef>
              <c:f>NUMP!$D$28</c:f>
              <c:strCache>
                <c:ptCount val="1"/>
                <c:pt idx="0">
                  <c:v>2024</c:v>
                </c:pt>
              </c:strCache>
            </c:strRef>
          </c:tx>
          <c:spPr>
            <a:solidFill>
              <a:schemeClr val="accent6"/>
            </a:solidFill>
            <a:ln>
              <a:noFill/>
            </a:ln>
            <a:effectLst/>
          </c:spPr>
          <c:invertIfNegative val="0"/>
          <c:cat>
            <c:strRef>
              <c:f>NUMP!$B$18</c:f>
              <c:strCache>
                <c:ptCount val="1"/>
                <c:pt idx="0">
                  <c:v>Forest</c:v>
                </c:pt>
              </c:strCache>
            </c:strRef>
          </c:cat>
          <c:val>
            <c:numRef>
              <c:f>NUMP!$D$31</c:f>
              <c:numCache>
                <c:formatCode>General</c:formatCode>
                <c:ptCount val="1"/>
                <c:pt idx="0">
                  <c:v>1.510295725452045</c:v>
                </c:pt>
              </c:numCache>
            </c:numRef>
          </c:val>
          <c:extLst>
            <c:ext xmlns:c16="http://schemas.microsoft.com/office/drawing/2014/chart" uri="{C3380CC4-5D6E-409C-BE32-E72D297353CC}">
              <c16:uniqueId val="{00000001-0F34-444B-AF1F-612339111E23}"/>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(FIS)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chemeClr val="accent1"/>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NUMP!$C$29:$C$34</c:f>
              <c:numCache>
                <c:formatCode>General</c:formatCode>
                <c:ptCount val="6"/>
                <c:pt idx="0">
                  <c:v>0.59450265558460424</c:v>
                </c:pt>
                <c:pt idx="1">
                  <c:v>6.202659027407714</c:v>
                </c:pt>
                <c:pt idx="2">
                  <c:v>1.7410410322271193</c:v>
                </c:pt>
                <c:pt idx="3">
                  <c:v>0.60713727017318964</c:v>
                </c:pt>
                <c:pt idx="4">
                  <c:v>4.3732604319751101</c:v>
                </c:pt>
                <c:pt idx="5">
                  <c:v>2.2773639078442565</c:v>
                </c:pt>
              </c:numCache>
            </c:numRef>
          </c:val>
          <c:extLst>
            <c:ext xmlns:c16="http://schemas.microsoft.com/office/drawing/2014/chart" uri="{C3380CC4-5D6E-409C-BE32-E72D297353CC}">
              <c16:uniqueId val="{00000000-7DC0-47E4-AA1F-C365EED0E0CB}"/>
            </c:ext>
          </c:extLst>
        </c:ser>
        <c:ser>
          <c:idx val="2"/>
          <c:order val="1"/>
          <c:tx>
            <c:strRef>
              <c:f>NUMP!$D$15</c:f>
              <c:strCache>
                <c:ptCount val="1"/>
                <c:pt idx="0">
                  <c:v>2024</c:v>
                </c:pt>
              </c:strCache>
            </c:strRef>
          </c:tx>
          <c:spPr>
            <a:solidFill>
              <a:schemeClr val="accent3"/>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NUMP!$D$29:$D$34</c:f>
              <c:numCache>
                <c:formatCode>General</c:formatCode>
                <c:ptCount val="6"/>
                <c:pt idx="0">
                  <c:v>0.67920277720859656</c:v>
                </c:pt>
                <c:pt idx="1">
                  <c:v>6.9071727460879515</c:v>
                </c:pt>
                <c:pt idx="2">
                  <c:v>1.510295725452045</c:v>
                </c:pt>
                <c:pt idx="3">
                  <c:v>0.50993521887660687</c:v>
                </c:pt>
                <c:pt idx="4">
                  <c:v>3.3513020452998448</c:v>
                </c:pt>
                <c:pt idx="5">
                  <c:v>1.1147932663531734</c:v>
                </c:pt>
              </c:numCache>
            </c:numRef>
          </c:val>
          <c:extLst>
            <c:ext xmlns:c16="http://schemas.microsoft.com/office/drawing/2014/chart" uri="{C3380CC4-5D6E-409C-BE32-E72D297353CC}">
              <c16:uniqueId val="{00000001-7DC0-47E4-AA1F-C365EED0E0CB}"/>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(FIS) Across Time for Croplands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rgbClr val="FFC000"/>
            </a:solidFill>
            <a:ln>
              <a:noFill/>
            </a:ln>
            <a:effectLst/>
          </c:spPr>
          <c:invertIfNegative val="0"/>
          <c:cat>
            <c:strRef>
              <c:f>NUMP!$B$29</c:f>
              <c:strCache>
                <c:ptCount val="1"/>
                <c:pt idx="0">
                  <c:v>Crop</c:v>
                </c:pt>
              </c:strCache>
            </c:strRef>
          </c:cat>
          <c:val>
            <c:numRef>
              <c:f>NUMP!$C$29</c:f>
              <c:numCache>
                <c:formatCode>General</c:formatCode>
                <c:ptCount val="1"/>
                <c:pt idx="0">
                  <c:v>0.59450265558460424</c:v>
                </c:pt>
              </c:numCache>
            </c:numRef>
          </c:val>
          <c:extLst>
            <c:ext xmlns:c16="http://schemas.microsoft.com/office/drawing/2014/chart" uri="{C3380CC4-5D6E-409C-BE32-E72D297353CC}">
              <c16:uniqueId val="{00000000-AEF0-4314-BBC5-A47B13B57F83}"/>
            </c:ext>
          </c:extLst>
        </c:ser>
        <c:ser>
          <c:idx val="2"/>
          <c:order val="1"/>
          <c:tx>
            <c:strRef>
              <c:f>NUMP!$D$28</c:f>
              <c:strCache>
                <c:ptCount val="1"/>
                <c:pt idx="0">
                  <c:v>2024</c:v>
                </c:pt>
              </c:strCache>
            </c:strRef>
          </c:tx>
          <c:spPr>
            <a:solidFill>
              <a:srgbClr val="FFC000"/>
            </a:solidFill>
            <a:ln>
              <a:noFill/>
            </a:ln>
            <a:effectLst/>
          </c:spPr>
          <c:invertIfNegative val="0"/>
          <c:cat>
            <c:strRef>
              <c:f>NUMP!$B$29</c:f>
              <c:strCache>
                <c:ptCount val="1"/>
                <c:pt idx="0">
                  <c:v>Crop</c:v>
                </c:pt>
              </c:strCache>
            </c:strRef>
          </c:cat>
          <c:val>
            <c:numRef>
              <c:f>NUMP!$D$29</c:f>
              <c:numCache>
                <c:formatCode>General</c:formatCode>
                <c:ptCount val="1"/>
                <c:pt idx="0">
                  <c:v>0.67920277720859656</c:v>
                </c:pt>
              </c:numCache>
            </c:numRef>
          </c:val>
          <c:extLst>
            <c:ext xmlns:c16="http://schemas.microsoft.com/office/drawing/2014/chart" uri="{C3380CC4-5D6E-409C-BE32-E72D297353CC}">
              <c16:uniqueId val="{00000001-AEF0-4314-BBC5-A47B13B57F83}"/>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Mean Patch Area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Plots!$T$37</c:f>
              <c:strCache>
                <c:ptCount val="1"/>
                <c:pt idx="0">
                  <c:v>2017</c:v>
                </c:pt>
              </c:strCache>
            </c:strRef>
          </c:tx>
          <c:spPr>
            <a:solidFill>
              <a:schemeClr val="accent1"/>
            </a:solidFill>
            <a:ln>
              <a:noFill/>
            </a:ln>
            <a:effectLst/>
          </c:spPr>
          <c:invertIfNegative val="0"/>
          <c:cat>
            <c:strRef>
              <c:f>Plots!$S$38:$S$43</c:f>
              <c:strCache>
                <c:ptCount val="6"/>
                <c:pt idx="0">
                  <c:v>Crop</c:v>
                </c:pt>
                <c:pt idx="1">
                  <c:v>Developed</c:v>
                </c:pt>
                <c:pt idx="2">
                  <c:v>Forest</c:v>
                </c:pt>
                <c:pt idx="3">
                  <c:v>Grassland</c:v>
                </c:pt>
                <c:pt idx="4">
                  <c:v>Open Forest</c:v>
                </c:pt>
                <c:pt idx="5">
                  <c:v>Water</c:v>
                </c:pt>
              </c:strCache>
            </c:strRef>
          </c:cat>
          <c:val>
            <c:numRef>
              <c:f>Plots!$T$38:$T$43</c:f>
              <c:numCache>
                <c:formatCode>General</c:formatCode>
                <c:ptCount val="6"/>
                <c:pt idx="0">
                  <c:v>8.4161579999999994</c:v>
                </c:pt>
                <c:pt idx="1">
                  <c:v>0.17858099999999999</c:v>
                </c:pt>
                <c:pt idx="2">
                  <c:v>9.8407499999999999</c:v>
                </c:pt>
                <c:pt idx="3">
                  <c:v>2.2969889999999999</c:v>
                </c:pt>
                <c:pt idx="4">
                  <c:v>5.4211819999999999</c:v>
                </c:pt>
                <c:pt idx="5">
                  <c:v>0.44986100000000001</c:v>
                </c:pt>
              </c:numCache>
            </c:numRef>
          </c:val>
          <c:extLst>
            <c:ext xmlns:c16="http://schemas.microsoft.com/office/drawing/2014/chart" uri="{C3380CC4-5D6E-409C-BE32-E72D297353CC}">
              <c16:uniqueId val="{00000000-41F9-4639-B457-2F4BEC621B3D}"/>
            </c:ext>
          </c:extLst>
        </c:ser>
        <c:ser>
          <c:idx val="2"/>
          <c:order val="1"/>
          <c:tx>
            <c:strRef>
              <c:f>Plots!$U$37</c:f>
              <c:strCache>
                <c:ptCount val="1"/>
                <c:pt idx="0">
                  <c:v>2024</c:v>
                </c:pt>
              </c:strCache>
            </c:strRef>
          </c:tx>
          <c:spPr>
            <a:solidFill>
              <a:schemeClr val="accent3"/>
            </a:solidFill>
            <a:ln>
              <a:noFill/>
            </a:ln>
            <a:effectLst/>
          </c:spPr>
          <c:invertIfNegative val="0"/>
          <c:cat>
            <c:strRef>
              <c:f>Plots!$S$38:$S$43</c:f>
              <c:strCache>
                <c:ptCount val="6"/>
                <c:pt idx="0">
                  <c:v>Crop</c:v>
                </c:pt>
                <c:pt idx="1">
                  <c:v>Developed</c:v>
                </c:pt>
                <c:pt idx="2">
                  <c:v>Forest</c:v>
                </c:pt>
                <c:pt idx="3">
                  <c:v>Grassland</c:v>
                </c:pt>
                <c:pt idx="4">
                  <c:v>Open Forest</c:v>
                </c:pt>
                <c:pt idx="5">
                  <c:v>Water</c:v>
                </c:pt>
              </c:strCache>
            </c:strRef>
          </c:cat>
          <c:val>
            <c:numRef>
              <c:f>Plots!$U$38:$U$43</c:f>
              <c:numCache>
                <c:formatCode>General</c:formatCode>
                <c:ptCount val="6"/>
                <c:pt idx="0">
                  <c:v>10.760317000000001</c:v>
                </c:pt>
                <c:pt idx="1">
                  <c:v>0.146204</c:v>
                </c:pt>
                <c:pt idx="2">
                  <c:v>10.574486</c:v>
                </c:pt>
                <c:pt idx="3">
                  <c:v>3.994475</c:v>
                </c:pt>
                <c:pt idx="4">
                  <c:v>4.8765000000000001</c:v>
                </c:pt>
                <c:pt idx="5">
                  <c:v>0.900424</c:v>
                </c:pt>
              </c:numCache>
            </c:numRef>
          </c:val>
          <c:extLst>
            <c:ext xmlns:c16="http://schemas.microsoft.com/office/drawing/2014/chart" uri="{C3380CC4-5D6E-409C-BE32-E72D297353CC}">
              <c16:uniqueId val="{00000002-41F9-4639-B457-2F4BEC621B3D}"/>
            </c:ext>
          </c:extLst>
        </c:ser>
        <c:dLbls>
          <c:showLegendKey val="0"/>
          <c:showVal val="0"/>
          <c:showCatName val="0"/>
          <c:showSerName val="0"/>
          <c:showPercent val="0"/>
          <c:showBubbleSize val="0"/>
        </c:dLbls>
        <c:gapWidth val="219"/>
        <c:overlap val="-27"/>
        <c:axId val="683466704"/>
        <c:axId val="683468144"/>
      </c:barChart>
      <c:catAx>
        <c:axId val="68346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a:t>
                </a:r>
                <a:r>
                  <a:rPr lang="en-US" baseline="0"/>
                  <a:t>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468144"/>
        <c:crosses val="autoZero"/>
        <c:auto val="1"/>
        <c:lblAlgn val="ctr"/>
        <c:lblOffset val="100"/>
        <c:noMultiLvlLbl val="0"/>
      </c:catAx>
      <c:valAx>
        <c:axId val="683468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MPA (ha)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46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Patches Across Time and Cover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NUMP!$C$2</c:f>
              <c:strCache>
                <c:ptCount val="1"/>
                <c:pt idx="0">
                  <c:v>2017</c:v>
                </c:pt>
              </c:strCache>
            </c:strRef>
          </c:tx>
          <c:spPr>
            <a:solidFill>
              <a:schemeClr val="accent1"/>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NUMP!$C$3:$C$8</c:f>
              <c:numCache>
                <c:formatCode>General</c:formatCode>
                <c:ptCount val="6"/>
                <c:pt idx="0">
                  <c:v>7427</c:v>
                </c:pt>
                <c:pt idx="1">
                  <c:v>19081</c:v>
                </c:pt>
                <c:pt idx="2">
                  <c:v>12023</c:v>
                </c:pt>
                <c:pt idx="3">
                  <c:v>5204</c:v>
                </c:pt>
                <c:pt idx="4">
                  <c:v>22030</c:v>
                </c:pt>
                <c:pt idx="5">
                  <c:v>3940</c:v>
                </c:pt>
              </c:numCache>
            </c:numRef>
          </c:val>
          <c:extLst>
            <c:ext xmlns:c16="http://schemas.microsoft.com/office/drawing/2014/chart" uri="{C3380CC4-5D6E-409C-BE32-E72D297353CC}">
              <c16:uniqueId val="{00000000-994C-44F3-966E-04DFD07B0D27}"/>
            </c:ext>
          </c:extLst>
        </c:ser>
        <c:ser>
          <c:idx val="2"/>
          <c:order val="1"/>
          <c:tx>
            <c:strRef>
              <c:f>NUMP!$D$2</c:f>
              <c:strCache>
                <c:ptCount val="1"/>
                <c:pt idx="0">
                  <c:v>2024</c:v>
                </c:pt>
              </c:strCache>
            </c:strRef>
          </c:tx>
          <c:spPr>
            <a:solidFill>
              <a:schemeClr val="accent3"/>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NUMP!$D$3:$D$8</c:f>
              <c:numCache>
                <c:formatCode>General</c:formatCode>
                <c:ptCount val="6"/>
                <c:pt idx="0">
                  <c:v>8038</c:v>
                </c:pt>
                <c:pt idx="1">
                  <c:v>6637</c:v>
                </c:pt>
                <c:pt idx="2">
                  <c:v>10506</c:v>
                </c:pt>
                <c:pt idx="3">
                  <c:v>5561</c:v>
                </c:pt>
                <c:pt idx="4">
                  <c:v>19628</c:v>
                </c:pt>
                <c:pt idx="5">
                  <c:v>997</c:v>
                </c:pt>
              </c:numCache>
            </c:numRef>
          </c:val>
          <c:extLst>
            <c:ext xmlns:c16="http://schemas.microsoft.com/office/drawing/2014/chart" uri="{C3380CC4-5D6E-409C-BE32-E72D297353CC}">
              <c16:uniqueId val="{00000001-994C-44F3-966E-04DFD07B0D27}"/>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chemeClr val="accent1"/>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NUMP!$C$16:$C$21</c:f>
              <c:numCache>
                <c:formatCode>General</c:formatCode>
                <c:ptCount val="6"/>
                <c:pt idx="0">
                  <c:v>0.47568359349000006</c:v>
                </c:pt>
                <c:pt idx="1">
                  <c:v>0.60295917131999999</c:v>
                </c:pt>
                <c:pt idx="2">
                  <c:v>1.6394227612619998</c:v>
                </c:pt>
                <c:pt idx="3">
                  <c:v>0.17178472821499999</c:v>
                </c:pt>
                <c:pt idx="4">
                  <c:v>4.1887988145639996</c:v>
                </c:pt>
                <c:pt idx="5">
                  <c:v>5.4455053775999997E-2</c:v>
                </c:pt>
              </c:numCache>
            </c:numRef>
          </c:val>
          <c:extLst>
            <c:ext xmlns:c16="http://schemas.microsoft.com/office/drawing/2014/chart" uri="{C3380CC4-5D6E-409C-BE32-E72D297353CC}">
              <c16:uniqueId val="{00000000-31E6-459A-9F7D-98245CC0EA74}"/>
            </c:ext>
          </c:extLst>
        </c:ser>
        <c:ser>
          <c:idx val="2"/>
          <c:order val="1"/>
          <c:tx>
            <c:strRef>
              <c:f>NUMP!$D$15</c:f>
              <c:strCache>
                <c:ptCount val="1"/>
                <c:pt idx="0">
                  <c:v>2024</c:v>
                </c:pt>
              </c:strCache>
            </c:strRef>
          </c:tx>
          <c:spPr>
            <a:solidFill>
              <a:schemeClr val="accent3"/>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NUMP!$D$16:$D$21</c:f>
              <c:numCache>
                <c:formatCode>General</c:formatCode>
                <c:ptCount val="6"/>
                <c:pt idx="0">
                  <c:v>0.58626871216199994</c:v>
                </c:pt>
                <c:pt idx="1">
                  <c:v>6.7414599936000005E-2</c:v>
                </c:pt>
                <c:pt idx="2">
                  <c:v>1.415728481238</c:v>
                </c:pt>
                <c:pt idx="3">
                  <c:v>0.25958942875399998</c:v>
                </c:pt>
                <c:pt idx="4">
                  <c:v>3.1462369371280001</c:v>
                </c:pt>
                <c:pt idx="5">
                  <c:v>4.2053655420000004E-3</c:v>
                </c:pt>
              </c:numCache>
            </c:numRef>
          </c:val>
          <c:extLst>
            <c:ext xmlns:c16="http://schemas.microsoft.com/office/drawing/2014/chart" uri="{C3380CC4-5D6E-409C-BE32-E72D297353CC}">
              <c16:uniqueId val="{00000001-31E6-459A-9F7D-98245CC0EA74}"/>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(FIS)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chemeClr val="accent6"/>
            </a:solidFill>
            <a:ln>
              <a:noFill/>
            </a:ln>
            <a:effectLst/>
          </c:spPr>
          <c:invertIfNegative val="0"/>
          <c:cat>
            <c:strRef>
              <c:f>NUMP!$B$18</c:f>
              <c:strCache>
                <c:ptCount val="1"/>
                <c:pt idx="0">
                  <c:v>Forest</c:v>
                </c:pt>
              </c:strCache>
            </c:strRef>
          </c:cat>
          <c:val>
            <c:numRef>
              <c:f>NUMP!$C$31</c:f>
              <c:numCache>
                <c:formatCode>General</c:formatCode>
                <c:ptCount val="1"/>
                <c:pt idx="0">
                  <c:v>1.7410410322271193</c:v>
                </c:pt>
              </c:numCache>
            </c:numRef>
          </c:val>
          <c:extLst>
            <c:ext xmlns:c16="http://schemas.microsoft.com/office/drawing/2014/chart" uri="{C3380CC4-5D6E-409C-BE32-E72D297353CC}">
              <c16:uniqueId val="{00000000-349D-492F-948A-A1EF0162E459}"/>
            </c:ext>
          </c:extLst>
        </c:ser>
        <c:ser>
          <c:idx val="2"/>
          <c:order val="1"/>
          <c:tx>
            <c:strRef>
              <c:f>NUMP!$D$28</c:f>
              <c:strCache>
                <c:ptCount val="1"/>
                <c:pt idx="0">
                  <c:v>2024</c:v>
                </c:pt>
              </c:strCache>
            </c:strRef>
          </c:tx>
          <c:spPr>
            <a:solidFill>
              <a:schemeClr val="accent6"/>
            </a:solidFill>
            <a:ln>
              <a:noFill/>
            </a:ln>
            <a:effectLst/>
          </c:spPr>
          <c:invertIfNegative val="0"/>
          <c:cat>
            <c:strRef>
              <c:f>NUMP!$B$18</c:f>
              <c:strCache>
                <c:ptCount val="1"/>
                <c:pt idx="0">
                  <c:v>Forest</c:v>
                </c:pt>
              </c:strCache>
            </c:strRef>
          </c:cat>
          <c:val>
            <c:numRef>
              <c:f>NUMP!$D$31</c:f>
              <c:numCache>
                <c:formatCode>General</c:formatCode>
                <c:ptCount val="1"/>
                <c:pt idx="0">
                  <c:v>1.510295725452045</c:v>
                </c:pt>
              </c:numCache>
            </c:numRef>
          </c:val>
          <c:extLst>
            <c:ext xmlns:c16="http://schemas.microsoft.com/office/drawing/2014/chart" uri="{C3380CC4-5D6E-409C-BE32-E72D297353CC}">
              <c16:uniqueId val="{00000001-349D-492F-948A-A1EF0162E459}"/>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(FIS) Across Time and Cover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chemeClr val="accent1"/>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NUMP!$C$29:$C$34</c:f>
              <c:numCache>
                <c:formatCode>General</c:formatCode>
                <c:ptCount val="6"/>
                <c:pt idx="0">
                  <c:v>0.59450265558460424</c:v>
                </c:pt>
                <c:pt idx="1">
                  <c:v>6.202659027407714</c:v>
                </c:pt>
                <c:pt idx="2">
                  <c:v>1.7410410322271193</c:v>
                </c:pt>
                <c:pt idx="3">
                  <c:v>0.60713727017318964</c:v>
                </c:pt>
                <c:pt idx="4">
                  <c:v>4.3732604319751101</c:v>
                </c:pt>
                <c:pt idx="5">
                  <c:v>2.2773639078442565</c:v>
                </c:pt>
              </c:numCache>
            </c:numRef>
          </c:val>
          <c:extLst>
            <c:ext xmlns:c16="http://schemas.microsoft.com/office/drawing/2014/chart" uri="{C3380CC4-5D6E-409C-BE32-E72D297353CC}">
              <c16:uniqueId val="{00000000-40CE-46CE-A622-BC5477E760F8}"/>
            </c:ext>
          </c:extLst>
        </c:ser>
        <c:ser>
          <c:idx val="2"/>
          <c:order val="1"/>
          <c:tx>
            <c:strRef>
              <c:f>NUMP!$D$15</c:f>
              <c:strCache>
                <c:ptCount val="1"/>
                <c:pt idx="0">
                  <c:v>2024</c:v>
                </c:pt>
              </c:strCache>
            </c:strRef>
          </c:tx>
          <c:spPr>
            <a:solidFill>
              <a:schemeClr val="accent3"/>
            </a:solidFill>
            <a:ln>
              <a:noFill/>
            </a:ln>
            <a:effectLst/>
          </c:spPr>
          <c:invertIfNegative val="0"/>
          <c:cat>
            <c:strRef>
              <c:f>NUMP!$B$3:$B$8</c:f>
              <c:strCache>
                <c:ptCount val="6"/>
                <c:pt idx="0">
                  <c:v>Crop</c:v>
                </c:pt>
                <c:pt idx="1">
                  <c:v>Developed</c:v>
                </c:pt>
                <c:pt idx="2">
                  <c:v>Forest</c:v>
                </c:pt>
                <c:pt idx="3">
                  <c:v>Grassland</c:v>
                </c:pt>
                <c:pt idx="4">
                  <c:v>Open Forest</c:v>
                </c:pt>
                <c:pt idx="5">
                  <c:v>Water</c:v>
                </c:pt>
              </c:strCache>
            </c:strRef>
          </c:cat>
          <c:val>
            <c:numRef>
              <c:f>NUMP!$D$29:$D$34</c:f>
              <c:numCache>
                <c:formatCode>General</c:formatCode>
                <c:ptCount val="6"/>
                <c:pt idx="0">
                  <c:v>0.67920277720859656</c:v>
                </c:pt>
                <c:pt idx="1">
                  <c:v>6.9071727460879515</c:v>
                </c:pt>
                <c:pt idx="2">
                  <c:v>1.510295725452045</c:v>
                </c:pt>
                <c:pt idx="3">
                  <c:v>0.50993521887660687</c:v>
                </c:pt>
                <c:pt idx="4">
                  <c:v>3.3513020452998448</c:v>
                </c:pt>
                <c:pt idx="5">
                  <c:v>1.1147932663531734</c:v>
                </c:pt>
              </c:numCache>
            </c:numRef>
          </c:val>
          <c:extLst>
            <c:ext xmlns:c16="http://schemas.microsoft.com/office/drawing/2014/chart" uri="{C3380CC4-5D6E-409C-BE32-E72D297353CC}">
              <c16:uniqueId val="{00000001-40CE-46CE-A622-BC5477E760F8}"/>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Fragmentation (FIS) Across Time for Croplands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NUMP!$C$15</c:f>
              <c:strCache>
                <c:ptCount val="1"/>
                <c:pt idx="0">
                  <c:v>2017</c:v>
                </c:pt>
              </c:strCache>
            </c:strRef>
          </c:tx>
          <c:spPr>
            <a:solidFill>
              <a:srgbClr val="FFC000"/>
            </a:solidFill>
            <a:ln>
              <a:noFill/>
            </a:ln>
            <a:effectLst/>
          </c:spPr>
          <c:invertIfNegative val="0"/>
          <c:cat>
            <c:strRef>
              <c:f>NUMP!$B$29</c:f>
              <c:strCache>
                <c:ptCount val="1"/>
                <c:pt idx="0">
                  <c:v>Crop</c:v>
                </c:pt>
              </c:strCache>
            </c:strRef>
          </c:cat>
          <c:val>
            <c:numRef>
              <c:f>NUMP!$C$29</c:f>
              <c:numCache>
                <c:formatCode>General</c:formatCode>
                <c:ptCount val="1"/>
                <c:pt idx="0">
                  <c:v>0.59450265558460424</c:v>
                </c:pt>
              </c:numCache>
            </c:numRef>
          </c:val>
          <c:extLst>
            <c:ext xmlns:c16="http://schemas.microsoft.com/office/drawing/2014/chart" uri="{C3380CC4-5D6E-409C-BE32-E72D297353CC}">
              <c16:uniqueId val="{00000000-883C-4729-AC43-6F10C05FFF26}"/>
            </c:ext>
          </c:extLst>
        </c:ser>
        <c:ser>
          <c:idx val="2"/>
          <c:order val="1"/>
          <c:tx>
            <c:strRef>
              <c:f>NUMP!$D$28</c:f>
              <c:strCache>
                <c:ptCount val="1"/>
                <c:pt idx="0">
                  <c:v>2024</c:v>
                </c:pt>
              </c:strCache>
            </c:strRef>
          </c:tx>
          <c:spPr>
            <a:solidFill>
              <a:srgbClr val="FFC000"/>
            </a:solidFill>
            <a:ln>
              <a:noFill/>
            </a:ln>
            <a:effectLst/>
          </c:spPr>
          <c:invertIfNegative val="0"/>
          <c:cat>
            <c:strRef>
              <c:f>NUMP!$B$29</c:f>
              <c:strCache>
                <c:ptCount val="1"/>
                <c:pt idx="0">
                  <c:v>Crop</c:v>
                </c:pt>
              </c:strCache>
            </c:strRef>
          </c:cat>
          <c:val>
            <c:numRef>
              <c:f>NUMP!$D$29</c:f>
              <c:numCache>
                <c:formatCode>General</c:formatCode>
                <c:ptCount val="1"/>
                <c:pt idx="0">
                  <c:v>0.67920277720859656</c:v>
                </c:pt>
              </c:numCache>
            </c:numRef>
          </c:val>
          <c:extLst>
            <c:ext xmlns:c16="http://schemas.microsoft.com/office/drawing/2014/chart" uri="{C3380CC4-5D6E-409C-BE32-E72D297353CC}">
              <c16:uniqueId val="{00000001-883C-4729-AC43-6F10C05FFF26}"/>
            </c:ext>
          </c:extLst>
        </c:ser>
        <c:dLbls>
          <c:showLegendKey val="0"/>
          <c:showVal val="0"/>
          <c:showCatName val="0"/>
          <c:showSerName val="0"/>
          <c:showPercent val="0"/>
          <c:showBubbleSize val="0"/>
        </c:dLbls>
        <c:gapWidth val="219"/>
        <c:overlap val="-27"/>
        <c:axId val="501493776"/>
        <c:axId val="501497616"/>
      </c:barChart>
      <c:catAx>
        <c:axId val="5014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7616"/>
        <c:crosses val="autoZero"/>
        <c:auto val="1"/>
        <c:lblAlgn val="ctr"/>
        <c:lblOffset val="100"/>
        <c:noMultiLvlLbl val="0"/>
      </c:catAx>
      <c:valAx>
        <c:axId val="5014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9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554831</xdr:colOff>
      <xdr:row>1</xdr:row>
      <xdr:rowOff>167877</xdr:rowOff>
    </xdr:from>
    <xdr:to>
      <xdr:col>12</xdr:col>
      <xdr:colOff>250031</xdr:colOff>
      <xdr:row>16</xdr:row>
      <xdr:rowOff>62507</xdr:rowOff>
    </xdr:to>
    <xdr:graphicFrame macro="">
      <xdr:nvGraphicFramePr>
        <xdr:cNvPr id="3" name="Chart 2">
          <a:extLst>
            <a:ext uri="{FF2B5EF4-FFF2-40B4-BE49-F238E27FC236}">
              <a16:creationId xmlns:a16="http://schemas.microsoft.com/office/drawing/2014/main" id="{076BF755-5DC8-FC5D-C251-75D4EDF9E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645914</xdr:colOff>
      <xdr:row>17</xdr:row>
      <xdr:rowOff>74413</xdr:rowOff>
    </xdr:from>
    <xdr:to>
      <xdr:col>12</xdr:col>
      <xdr:colOff>341114</xdr:colOff>
      <xdr:row>31</xdr:row>
      <xdr:rowOff>150613</xdr:rowOff>
    </xdr:to>
    <xdr:graphicFrame macro="">
      <xdr:nvGraphicFramePr>
        <xdr:cNvPr id="2" name="Chart 1">
          <a:extLst>
            <a:ext uri="{FF2B5EF4-FFF2-40B4-BE49-F238E27FC236}">
              <a16:creationId xmlns:a16="http://schemas.microsoft.com/office/drawing/2014/main" id="{20CDF2EE-BD35-4ABB-BA1A-8C2886D9D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5953</xdr:colOff>
      <xdr:row>33</xdr:row>
      <xdr:rowOff>89298</xdr:rowOff>
    </xdr:from>
    <xdr:to>
      <xdr:col>12</xdr:col>
      <xdr:colOff>350044</xdr:colOff>
      <xdr:row>47</xdr:row>
      <xdr:rowOff>165498</xdr:rowOff>
    </xdr:to>
    <xdr:graphicFrame macro="">
      <xdr:nvGraphicFramePr>
        <xdr:cNvPr id="5" name="Chart 4">
          <a:extLst>
            <a:ext uri="{FF2B5EF4-FFF2-40B4-BE49-F238E27FC236}">
              <a16:creationId xmlns:a16="http://schemas.microsoft.com/office/drawing/2014/main" id="{748DBF0C-BB03-4C9C-B0D5-4001D23B5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52</xdr:row>
      <xdr:rowOff>0</xdr:rowOff>
    </xdr:from>
    <xdr:to>
      <xdr:col>12</xdr:col>
      <xdr:colOff>344091</xdr:colOff>
      <xdr:row>66</xdr:row>
      <xdr:rowOff>76199</xdr:rowOff>
    </xdr:to>
    <xdr:graphicFrame macro="">
      <xdr:nvGraphicFramePr>
        <xdr:cNvPr id="6" name="Chart 5">
          <a:extLst>
            <a:ext uri="{FF2B5EF4-FFF2-40B4-BE49-F238E27FC236}">
              <a16:creationId xmlns:a16="http://schemas.microsoft.com/office/drawing/2014/main" id="{F67423B4-580E-4832-9B33-4FB706060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70</xdr:row>
      <xdr:rowOff>0</xdr:rowOff>
    </xdr:from>
    <xdr:to>
      <xdr:col>12</xdr:col>
      <xdr:colOff>344091</xdr:colOff>
      <xdr:row>84</xdr:row>
      <xdr:rowOff>76200</xdr:rowOff>
    </xdr:to>
    <xdr:graphicFrame macro="">
      <xdr:nvGraphicFramePr>
        <xdr:cNvPr id="7" name="Chart 6">
          <a:extLst>
            <a:ext uri="{FF2B5EF4-FFF2-40B4-BE49-F238E27FC236}">
              <a16:creationId xmlns:a16="http://schemas.microsoft.com/office/drawing/2014/main" id="{9661519D-6E1D-4085-852F-88C9F5C1B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585787</xdr:colOff>
      <xdr:row>35</xdr:row>
      <xdr:rowOff>33337</xdr:rowOff>
    </xdr:from>
    <xdr:to>
      <xdr:col>17</xdr:col>
      <xdr:colOff>280987</xdr:colOff>
      <xdr:row>49</xdr:row>
      <xdr:rowOff>109537</xdr:rowOff>
    </xdr:to>
    <xdr:graphicFrame macro="">
      <xdr:nvGraphicFramePr>
        <xdr:cNvPr id="9" name="Chart 8">
          <a:extLst>
            <a:ext uri="{FF2B5EF4-FFF2-40B4-BE49-F238E27FC236}">
              <a16:creationId xmlns:a16="http://schemas.microsoft.com/office/drawing/2014/main" id="{3A57A4D6-94F2-8AD8-7CBE-1A9A6A408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285750</xdr:colOff>
      <xdr:row>1</xdr:row>
      <xdr:rowOff>68792</xdr:rowOff>
    </xdr:from>
    <xdr:to>
      <xdr:col>8</xdr:col>
      <xdr:colOff>7408</xdr:colOff>
      <xdr:row>15</xdr:row>
      <xdr:rowOff>168143</xdr:rowOff>
    </xdr:to>
    <xdr:graphicFrame macro="">
      <xdr:nvGraphicFramePr>
        <xdr:cNvPr id="4" name="Chart 3">
          <a:extLst>
            <a:ext uri="{FF2B5EF4-FFF2-40B4-BE49-F238E27FC236}">
              <a16:creationId xmlns:a16="http://schemas.microsoft.com/office/drawing/2014/main" id="{5167D7D2-88A3-4308-A714-7523FCA7E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608542</xdr:colOff>
      <xdr:row>1</xdr:row>
      <xdr:rowOff>111124</xdr:rowOff>
    </xdr:from>
    <xdr:to>
      <xdr:col>17</xdr:col>
      <xdr:colOff>330200</xdr:colOff>
      <xdr:row>16</xdr:row>
      <xdr:rowOff>30558</xdr:rowOff>
    </xdr:to>
    <xdr:graphicFrame macro="">
      <xdr:nvGraphicFramePr>
        <xdr:cNvPr id="8" name="Chart 7">
          <a:extLst>
            <a:ext uri="{FF2B5EF4-FFF2-40B4-BE49-F238E27FC236}">
              <a16:creationId xmlns:a16="http://schemas.microsoft.com/office/drawing/2014/main" id="{32386D37-40B5-4DC0-A268-2C5D43D1A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254000</xdr:colOff>
      <xdr:row>17</xdr:row>
      <xdr:rowOff>121709</xdr:rowOff>
    </xdr:from>
    <xdr:to>
      <xdr:col>7</xdr:col>
      <xdr:colOff>621242</xdr:colOff>
      <xdr:row>32</xdr:row>
      <xdr:rowOff>41143</xdr:rowOff>
    </xdr:to>
    <xdr:graphicFrame macro="">
      <xdr:nvGraphicFramePr>
        <xdr:cNvPr id="10" name="Chart 9">
          <a:extLst>
            <a:ext uri="{FF2B5EF4-FFF2-40B4-BE49-F238E27FC236}">
              <a16:creationId xmlns:a16="http://schemas.microsoft.com/office/drawing/2014/main" id="{C58ED156-A9D2-40D2-8DAA-765806937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560917</xdr:colOff>
      <xdr:row>17</xdr:row>
      <xdr:rowOff>169334</xdr:rowOff>
    </xdr:from>
    <xdr:to>
      <xdr:col>17</xdr:col>
      <xdr:colOff>282575</xdr:colOff>
      <xdr:row>32</xdr:row>
      <xdr:rowOff>88768</xdr:rowOff>
    </xdr:to>
    <xdr:graphicFrame macro="">
      <xdr:nvGraphicFramePr>
        <xdr:cNvPr id="11" name="Chart 10">
          <a:extLst>
            <a:ext uri="{FF2B5EF4-FFF2-40B4-BE49-F238E27FC236}">
              <a16:creationId xmlns:a16="http://schemas.microsoft.com/office/drawing/2014/main" id="{4966231B-8187-4CF2-9299-AAD1A6074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306917</xdr:colOff>
      <xdr:row>35</xdr:row>
      <xdr:rowOff>26458</xdr:rowOff>
    </xdr:from>
    <xdr:to>
      <xdr:col>8</xdr:col>
      <xdr:colOff>28575</xdr:colOff>
      <xdr:row>49</xdr:row>
      <xdr:rowOff>125808</xdr:rowOff>
    </xdr:to>
    <xdr:graphicFrame macro="">
      <xdr:nvGraphicFramePr>
        <xdr:cNvPr id="12" name="Chart 11">
          <a:extLst>
            <a:ext uri="{FF2B5EF4-FFF2-40B4-BE49-F238E27FC236}">
              <a16:creationId xmlns:a16="http://schemas.microsoft.com/office/drawing/2014/main" id="{F5811EF3-2E73-48C4-94F1-4435A41AE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B6851-40F5-49C8-8CBA-9863979D0BD8}">
  <dimension ref="A1:N25"/>
  <sheetViews>
    <sheetView topLeftCell="D1" zoomScale="150" zoomScaleNormal="150" workbookViewId="0">
      <selection activeCell="G3" sqref="G3:G8"/>
    </sheetView>
  </sheetViews>
  <sheetFormatPr defaultRowHeight="14.25" x14ac:dyDescent="0.45"/>
  <cols>
    <col min="3" max="3" width="11.46484375" bestFit="1" customWidth="1"/>
    <col min="4" max="4" width="18.1328125" bestFit="1" customWidth="1"/>
    <col min="5" max="5" width="18.46484375" bestFit="1" customWidth="1"/>
    <col min="6" max="6" width="14.53125" customWidth="1"/>
    <col min="7" max="7" width="15.265625" customWidth="1"/>
    <col min="8" max="8" width="12.46484375" bestFit="1" customWidth="1"/>
    <col min="9" max="9" width="11.53125" bestFit="1" customWidth="1"/>
    <col min="12" max="12" width="10.19921875" bestFit="1" customWidth="1"/>
  </cols>
  <sheetData>
    <row r="1" spans="1:13" ht="18" x14ac:dyDescent="0.55000000000000004">
      <c r="A1" s="32">
        <v>2017</v>
      </c>
      <c r="B1" s="33"/>
      <c r="C1" s="33"/>
      <c r="D1" s="33"/>
      <c r="E1" s="33"/>
      <c r="F1" s="33"/>
      <c r="G1" s="33"/>
      <c r="H1" s="33"/>
      <c r="I1" s="33"/>
      <c r="J1" s="33"/>
      <c r="K1" s="34"/>
    </row>
    <row r="2" spans="1:13" x14ac:dyDescent="0.45">
      <c r="A2" s="7" t="s">
        <v>49</v>
      </c>
      <c r="B2" s="7" t="s">
        <v>50</v>
      </c>
      <c r="C2" s="7" t="s">
        <v>4</v>
      </c>
      <c r="D2" s="7" t="s">
        <v>5</v>
      </c>
      <c r="E2" s="7" t="s">
        <v>6</v>
      </c>
      <c r="F2" s="7" t="s">
        <v>7</v>
      </c>
      <c r="G2" s="7" t="s">
        <v>8</v>
      </c>
      <c r="H2" s="7" t="s">
        <v>9</v>
      </c>
      <c r="I2" s="7" t="s">
        <v>10</v>
      </c>
      <c r="J2" s="6" t="s">
        <v>11</v>
      </c>
      <c r="K2" s="6" t="s">
        <v>12</v>
      </c>
      <c r="L2" s="10" t="str">
        <f>B2</f>
        <v>classes</v>
      </c>
    </row>
    <row r="3" spans="1:13" x14ac:dyDescent="0.45">
      <c r="A3" s="8">
        <v>1</v>
      </c>
      <c r="B3" s="8" t="s">
        <v>51</v>
      </c>
      <c r="C3" s="8">
        <v>7427</v>
      </c>
      <c r="D3" s="8">
        <v>62506.806060000003</v>
      </c>
      <c r="E3" s="8">
        <v>6451555.7027860004</v>
      </c>
      <c r="F3" s="8">
        <v>7427</v>
      </c>
      <c r="G3" s="8">
        <v>8.4161579999999994</v>
      </c>
      <c r="H3" s="8">
        <v>2.3401000000000002E-2</v>
      </c>
      <c r="I3" s="8">
        <v>20.327490000000001</v>
      </c>
      <c r="J3" s="9">
        <f>H3*I3</f>
        <v>0.47568359349000006</v>
      </c>
      <c r="K3" s="9">
        <f>(J3)+1/G3</f>
        <v>0.59450265558460424</v>
      </c>
      <c r="L3" s="11" t="str">
        <f t="shared" ref="L3:L8" si="0">B3</f>
        <v>Crop</v>
      </c>
    </row>
    <row r="4" spans="1:13" x14ac:dyDescent="0.45">
      <c r="A4" s="8">
        <v>2</v>
      </c>
      <c r="B4" s="8" t="s">
        <v>52</v>
      </c>
      <c r="C4" s="8">
        <v>19081</v>
      </c>
      <c r="D4" s="8">
        <v>3407.4994360000001</v>
      </c>
      <c r="E4" s="8">
        <v>3183095.2467379998</v>
      </c>
      <c r="F4" s="8">
        <v>19081</v>
      </c>
      <c r="G4" s="8">
        <v>0.17858099999999999</v>
      </c>
      <c r="H4" s="8">
        <v>6.012E-2</v>
      </c>
      <c r="I4" s="8">
        <v>10.029261</v>
      </c>
      <c r="J4" s="9">
        <f t="shared" ref="J4:J8" si="1">H4*I4</f>
        <v>0.60295917131999999</v>
      </c>
      <c r="K4" s="9">
        <f t="shared" ref="K4:K8" si="2">(J4)+1/G4</f>
        <v>6.202659027407714</v>
      </c>
      <c r="L4" s="11" t="str">
        <f t="shared" si="0"/>
        <v>Developed</v>
      </c>
    </row>
    <row r="5" spans="1:13" x14ac:dyDescent="0.45">
      <c r="A5" s="8">
        <v>3</v>
      </c>
      <c r="B5" s="8" t="s">
        <v>2</v>
      </c>
      <c r="C5" s="8">
        <v>12023</v>
      </c>
      <c r="D5" s="8">
        <v>118315.341462</v>
      </c>
      <c r="E5" s="8">
        <v>13735319.357350999</v>
      </c>
      <c r="F5" s="8">
        <v>12023</v>
      </c>
      <c r="G5" s="8">
        <v>9.8407499999999999</v>
      </c>
      <c r="H5" s="8">
        <v>3.7881999999999999E-2</v>
      </c>
      <c r="I5" s="8">
        <v>43.277090999999999</v>
      </c>
      <c r="J5" s="9">
        <f t="shared" si="1"/>
        <v>1.6394227612619998</v>
      </c>
      <c r="K5" s="9">
        <f t="shared" si="2"/>
        <v>1.7410410322271193</v>
      </c>
      <c r="L5" s="11" t="str">
        <f t="shared" si="0"/>
        <v>Forest</v>
      </c>
      <c r="M5" s="12" t="s">
        <v>55</v>
      </c>
    </row>
    <row r="6" spans="1:13" x14ac:dyDescent="0.45">
      <c r="A6" s="8">
        <v>4</v>
      </c>
      <c r="B6" s="8" t="s">
        <v>3</v>
      </c>
      <c r="C6" s="8">
        <v>5204</v>
      </c>
      <c r="D6" s="8">
        <v>11953.531950000001</v>
      </c>
      <c r="E6" s="8">
        <v>3325070.5090200002</v>
      </c>
      <c r="F6" s="8">
        <v>5204</v>
      </c>
      <c r="G6" s="8">
        <v>2.2969889999999999</v>
      </c>
      <c r="H6" s="8">
        <v>1.6396999999999998E-2</v>
      </c>
      <c r="I6" s="8">
        <v>10.476595</v>
      </c>
      <c r="J6" s="9">
        <f t="shared" si="1"/>
        <v>0.17178472821499999</v>
      </c>
      <c r="K6" s="9">
        <f t="shared" si="2"/>
        <v>0.60713727017318964</v>
      </c>
      <c r="L6" s="11" t="str">
        <f t="shared" si="0"/>
        <v>Grassland</v>
      </c>
    </row>
    <row r="7" spans="1:13" x14ac:dyDescent="0.45">
      <c r="A7" s="8">
        <v>5</v>
      </c>
      <c r="B7" s="8" t="s">
        <v>53</v>
      </c>
      <c r="C7" s="8">
        <v>22030</v>
      </c>
      <c r="D7" s="8">
        <v>119428.64638000001</v>
      </c>
      <c r="E7" s="8">
        <v>19152948.720224001</v>
      </c>
      <c r="F7" s="8">
        <v>22030</v>
      </c>
      <c r="G7" s="8">
        <v>5.4211819999999999</v>
      </c>
      <c r="H7" s="8">
        <v>6.9412000000000001E-2</v>
      </c>
      <c r="I7" s="8">
        <v>60.346896999999998</v>
      </c>
      <c r="J7" s="9">
        <f t="shared" si="1"/>
        <v>4.1887988145639996</v>
      </c>
      <c r="K7" s="9">
        <f t="shared" si="2"/>
        <v>4.3732604319751101</v>
      </c>
      <c r="L7" s="11" t="str">
        <f t="shared" si="0"/>
        <v>Open Forest</v>
      </c>
      <c r="M7" s="12" t="s">
        <v>56</v>
      </c>
    </row>
    <row r="8" spans="1:13" x14ac:dyDescent="0.45">
      <c r="A8" s="8">
        <v>6</v>
      </c>
      <c r="B8" s="8" t="s">
        <v>54</v>
      </c>
      <c r="C8" s="8">
        <v>3940</v>
      </c>
      <c r="D8" s="8">
        <v>1772.450981</v>
      </c>
      <c r="E8" s="8">
        <v>1392217.742023</v>
      </c>
      <c r="F8" s="8">
        <v>3940</v>
      </c>
      <c r="G8" s="8">
        <v>0.44986100000000001</v>
      </c>
      <c r="H8" s="8">
        <v>1.2414E-2</v>
      </c>
      <c r="I8" s="8">
        <v>4.386584</v>
      </c>
      <c r="J8" s="9">
        <f t="shared" si="1"/>
        <v>5.4455053775999997E-2</v>
      </c>
      <c r="K8" s="9">
        <f t="shared" si="2"/>
        <v>2.2773639078442565</v>
      </c>
      <c r="L8" s="11" t="str">
        <f t="shared" si="0"/>
        <v>Water</v>
      </c>
    </row>
    <row r="13" spans="1:13" x14ac:dyDescent="0.45">
      <c r="A13" t="s">
        <v>14</v>
      </c>
    </row>
    <row r="14" spans="1:13" x14ac:dyDescent="0.45">
      <c r="A14" s="31" t="s">
        <v>20</v>
      </c>
      <c r="B14" s="31"/>
      <c r="C14" s="31"/>
      <c r="D14" s="31"/>
    </row>
    <row r="15" spans="1:13" x14ac:dyDescent="0.45">
      <c r="A15" s="31" t="s">
        <v>19</v>
      </c>
      <c r="B15" s="31"/>
      <c r="C15" s="31"/>
      <c r="D15" s="31"/>
      <c r="E15" s="31"/>
    </row>
    <row r="17" spans="1:14" x14ac:dyDescent="0.45">
      <c r="A17" s="31" t="s">
        <v>21</v>
      </c>
      <c r="B17" s="31"/>
      <c r="C17" s="31"/>
      <c r="D17" s="31"/>
      <c r="E17" s="31"/>
      <c r="F17" s="31"/>
      <c r="G17" s="31"/>
      <c r="H17" s="31"/>
      <c r="I17" s="31"/>
      <c r="J17" s="31"/>
      <c r="K17" s="31"/>
      <c r="L17" s="31"/>
      <c r="M17" s="31"/>
      <c r="N17" s="31"/>
    </row>
    <row r="18" spans="1:14" x14ac:dyDescent="0.45">
      <c r="A18" s="31" t="s">
        <v>22</v>
      </c>
      <c r="B18" s="31"/>
      <c r="C18" s="31"/>
      <c r="D18" s="31"/>
      <c r="E18" s="31"/>
      <c r="F18" s="31"/>
      <c r="G18" s="31"/>
      <c r="H18" s="31"/>
      <c r="I18" s="31"/>
    </row>
    <row r="19" spans="1:14" x14ac:dyDescent="0.45">
      <c r="A19" s="31" t="s">
        <v>23</v>
      </c>
      <c r="B19" s="31"/>
      <c r="C19" s="31"/>
      <c r="D19" s="31"/>
      <c r="E19" s="31"/>
      <c r="F19" s="31"/>
      <c r="G19" s="31"/>
    </row>
    <row r="21" spans="1:14" x14ac:dyDescent="0.45">
      <c r="A21" t="s">
        <v>15</v>
      </c>
    </row>
    <row r="22" spans="1:14" x14ac:dyDescent="0.45">
      <c r="A22" s="31" t="s">
        <v>16</v>
      </c>
      <c r="B22" s="31"/>
      <c r="C22" s="31"/>
      <c r="D22" s="31"/>
      <c r="E22" s="31"/>
      <c r="F22" s="31"/>
      <c r="G22" s="31"/>
      <c r="H22" s="31"/>
      <c r="I22" s="31"/>
    </row>
    <row r="23" spans="1:14" x14ac:dyDescent="0.45">
      <c r="A23" s="31" t="s">
        <v>17</v>
      </c>
      <c r="B23" s="31"/>
      <c r="C23" s="31"/>
      <c r="D23" s="31"/>
      <c r="E23" s="31"/>
      <c r="F23" s="31"/>
      <c r="G23" s="31"/>
      <c r="H23" s="31"/>
    </row>
    <row r="25" spans="1:14" x14ac:dyDescent="0.45">
      <c r="A25" s="31" t="s">
        <v>18</v>
      </c>
      <c r="B25" s="31"/>
      <c r="C25" s="31"/>
      <c r="D25" s="31"/>
      <c r="E25" s="31"/>
      <c r="F25" s="31"/>
      <c r="G25" s="31"/>
      <c r="H25" s="31"/>
      <c r="I25" s="31"/>
      <c r="J25" s="31"/>
    </row>
  </sheetData>
  <mergeCells count="9">
    <mergeCell ref="A22:I22"/>
    <mergeCell ref="A23:H23"/>
    <mergeCell ref="A25:J25"/>
    <mergeCell ref="A1:K1"/>
    <mergeCell ref="A14:D14"/>
    <mergeCell ref="A15:E15"/>
    <mergeCell ref="A17:N17"/>
    <mergeCell ref="A18:I18"/>
    <mergeCell ref="A19:G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78BE-FF81-4F27-8BFE-55FE90DFC2A3}">
  <dimension ref="A1:N25"/>
  <sheetViews>
    <sheetView topLeftCell="D1" zoomScale="150" zoomScaleNormal="150" workbookViewId="0">
      <selection activeCell="G11" sqref="G11"/>
    </sheetView>
  </sheetViews>
  <sheetFormatPr defaultRowHeight="14.25" x14ac:dyDescent="0.45"/>
  <cols>
    <col min="3" max="3" width="11.46484375" bestFit="1" customWidth="1"/>
    <col min="4" max="4" width="18.1328125" bestFit="1" customWidth="1"/>
    <col min="5" max="5" width="18.46484375" bestFit="1" customWidth="1"/>
    <col min="6" max="6" width="14.53125" customWidth="1"/>
    <col min="7" max="7" width="15.265625" customWidth="1"/>
    <col min="8" max="8" width="12.46484375" bestFit="1" customWidth="1"/>
    <col min="9" max="9" width="11.53125" bestFit="1" customWidth="1"/>
    <col min="12" max="12" width="10.19921875" bestFit="1" customWidth="1"/>
  </cols>
  <sheetData>
    <row r="1" spans="1:13" ht="18" x14ac:dyDescent="0.55000000000000004">
      <c r="A1" s="32">
        <v>2024</v>
      </c>
      <c r="B1" s="33"/>
      <c r="C1" s="33"/>
      <c r="D1" s="33"/>
      <c r="E1" s="33"/>
      <c r="F1" s="33"/>
      <c r="G1" s="33"/>
      <c r="H1" s="33"/>
      <c r="I1" s="33"/>
      <c r="J1" s="33"/>
      <c r="K1" s="34"/>
    </row>
    <row r="2" spans="1:13" x14ac:dyDescent="0.45">
      <c r="A2" s="7" t="s">
        <v>49</v>
      </c>
      <c r="B2" s="7" t="s">
        <v>50</v>
      </c>
      <c r="C2" s="7" t="s">
        <v>4</v>
      </c>
      <c r="D2" s="7" t="s">
        <v>5</v>
      </c>
      <c r="E2" s="7" t="s">
        <v>6</v>
      </c>
      <c r="F2" s="7" t="s">
        <v>7</v>
      </c>
      <c r="G2" s="7" t="s">
        <v>8</v>
      </c>
      <c r="H2" s="7" t="s">
        <v>9</v>
      </c>
      <c r="I2" s="7" t="s">
        <v>10</v>
      </c>
      <c r="J2" s="6" t="s">
        <v>11</v>
      </c>
      <c r="K2" s="6" t="s">
        <v>12</v>
      </c>
      <c r="L2" s="10" t="str">
        <f>B2</f>
        <v>classes</v>
      </c>
    </row>
    <row r="3" spans="1:13" x14ac:dyDescent="0.45">
      <c r="A3" s="8">
        <v>1</v>
      </c>
      <c r="B3" s="8" t="s">
        <v>51</v>
      </c>
      <c r="C3" s="8">
        <v>8038</v>
      </c>
      <c r="D3" s="8">
        <v>86491.428631000002</v>
      </c>
      <c r="E3" s="8">
        <v>7347013.0658870004</v>
      </c>
      <c r="F3" s="8">
        <v>8038</v>
      </c>
      <c r="G3" s="8">
        <v>10.760317000000001</v>
      </c>
      <c r="H3" s="8">
        <v>2.5326000000000001E-2</v>
      </c>
      <c r="I3" s="8">
        <v>23.148886999999998</v>
      </c>
      <c r="J3" s="9">
        <f>H3*I3</f>
        <v>0.58626871216199994</v>
      </c>
      <c r="K3" s="9">
        <f>(J3)+1/G3</f>
        <v>0.67920277720859656</v>
      </c>
      <c r="L3" s="11" t="str">
        <f t="shared" ref="L3:L8" si="0">B3</f>
        <v>Crop</v>
      </c>
    </row>
    <row r="4" spans="1:13" x14ac:dyDescent="0.45">
      <c r="A4" s="8">
        <v>2</v>
      </c>
      <c r="B4" s="8" t="s">
        <v>52</v>
      </c>
      <c r="C4" s="8">
        <v>6637</v>
      </c>
      <c r="D4" s="8">
        <v>970.35653100000002</v>
      </c>
      <c r="E4" s="8">
        <v>1023149.596101</v>
      </c>
      <c r="F4" s="8">
        <v>6637</v>
      </c>
      <c r="G4" s="8">
        <v>0.146204</v>
      </c>
      <c r="H4" s="8">
        <v>2.0912E-2</v>
      </c>
      <c r="I4" s="8">
        <v>3.2237279999999999</v>
      </c>
      <c r="J4" s="9">
        <f t="shared" ref="J4:J8" si="1">H4*I4</f>
        <v>6.7414599936000005E-2</v>
      </c>
      <c r="K4" s="9">
        <f t="shared" ref="K4:K8" si="2">(J4)+1/G4</f>
        <v>6.9071727460879515</v>
      </c>
      <c r="L4" s="11" t="str">
        <f t="shared" si="0"/>
        <v>Developed</v>
      </c>
    </row>
    <row r="5" spans="1:13" x14ac:dyDescent="0.45">
      <c r="A5" s="8">
        <v>3</v>
      </c>
      <c r="B5" s="8" t="s">
        <v>2</v>
      </c>
      <c r="C5" s="8">
        <v>10506</v>
      </c>
      <c r="D5" s="8">
        <v>111095.5537</v>
      </c>
      <c r="E5" s="8">
        <v>13573956.059993001</v>
      </c>
      <c r="F5" s="8">
        <v>10506</v>
      </c>
      <c r="G5" s="8">
        <v>10.574486</v>
      </c>
      <c r="H5" s="8">
        <v>3.3101999999999999E-2</v>
      </c>
      <c r="I5" s="8">
        <v>42.768669000000003</v>
      </c>
      <c r="J5" s="9">
        <f t="shared" si="1"/>
        <v>1.415728481238</v>
      </c>
      <c r="K5" s="9">
        <f t="shared" si="2"/>
        <v>1.510295725452045</v>
      </c>
      <c r="L5" s="11" t="str">
        <f t="shared" si="0"/>
        <v>Forest</v>
      </c>
      <c r="M5" s="12" t="s">
        <v>55</v>
      </c>
    </row>
    <row r="6" spans="1:13" x14ac:dyDescent="0.45">
      <c r="A6" s="8">
        <v>4</v>
      </c>
      <c r="B6" s="8" t="s">
        <v>3</v>
      </c>
      <c r="C6" s="8">
        <v>5561</v>
      </c>
      <c r="D6" s="8">
        <v>22213.273975</v>
      </c>
      <c r="E6" s="8">
        <v>4702015.2596399998</v>
      </c>
      <c r="F6" s="8">
        <v>5561</v>
      </c>
      <c r="G6" s="8">
        <v>3.994475</v>
      </c>
      <c r="H6" s="8">
        <v>1.7521999999999999E-2</v>
      </c>
      <c r="I6" s="8">
        <v>14.815056999999999</v>
      </c>
      <c r="J6" s="9">
        <f t="shared" si="1"/>
        <v>0.25958942875399998</v>
      </c>
      <c r="K6" s="9">
        <f t="shared" si="2"/>
        <v>0.50993521887660687</v>
      </c>
      <c r="L6" s="11" t="str">
        <f t="shared" si="0"/>
        <v>Grassland</v>
      </c>
    </row>
    <row r="7" spans="1:13" x14ac:dyDescent="0.45">
      <c r="A7" s="8">
        <v>5</v>
      </c>
      <c r="B7" s="8" t="s">
        <v>53</v>
      </c>
      <c r="C7" s="8">
        <v>19628</v>
      </c>
      <c r="D7" s="8">
        <v>95715.940436000004</v>
      </c>
      <c r="E7" s="8">
        <v>16146357.448718</v>
      </c>
      <c r="F7" s="8">
        <v>19628</v>
      </c>
      <c r="G7" s="8">
        <v>4.8765000000000001</v>
      </c>
      <c r="H7" s="8">
        <v>6.1844000000000003E-2</v>
      </c>
      <c r="I7" s="8">
        <v>50.873761999999999</v>
      </c>
      <c r="J7" s="9">
        <f t="shared" si="1"/>
        <v>3.1462369371280001</v>
      </c>
      <c r="K7" s="9">
        <f t="shared" si="2"/>
        <v>3.3513020452998448</v>
      </c>
      <c r="L7" s="11" t="str">
        <f t="shared" si="0"/>
        <v>Open Forest</v>
      </c>
      <c r="M7" s="12" t="s">
        <v>56</v>
      </c>
    </row>
    <row r="8" spans="1:13" x14ac:dyDescent="0.45">
      <c r="A8" s="8">
        <v>6</v>
      </c>
      <c r="B8" s="8" t="s">
        <v>54</v>
      </c>
      <c r="C8" s="8">
        <v>997</v>
      </c>
      <c r="D8" s="8">
        <v>897.72301800000002</v>
      </c>
      <c r="E8" s="8">
        <v>424929.22069599997</v>
      </c>
      <c r="F8" s="8">
        <v>997</v>
      </c>
      <c r="G8" s="8">
        <v>0.900424</v>
      </c>
      <c r="H8" s="8">
        <v>3.1410000000000001E-3</v>
      </c>
      <c r="I8" s="8">
        <v>1.338862</v>
      </c>
      <c r="J8" s="9">
        <f t="shared" si="1"/>
        <v>4.2053655420000004E-3</v>
      </c>
      <c r="K8" s="9">
        <f t="shared" si="2"/>
        <v>1.1147932663531734</v>
      </c>
      <c r="L8" s="11" t="str">
        <f t="shared" si="0"/>
        <v>Water</v>
      </c>
    </row>
    <row r="13" spans="1:13" x14ac:dyDescent="0.45">
      <c r="A13" t="s">
        <v>14</v>
      </c>
    </row>
    <row r="14" spans="1:13" x14ac:dyDescent="0.45">
      <c r="A14" s="31" t="s">
        <v>20</v>
      </c>
      <c r="B14" s="31"/>
      <c r="C14" s="31"/>
      <c r="D14" s="31"/>
    </row>
    <row r="15" spans="1:13" x14ac:dyDescent="0.45">
      <c r="A15" s="31" t="s">
        <v>19</v>
      </c>
      <c r="B15" s="31"/>
      <c r="C15" s="31"/>
      <c r="D15" s="31"/>
      <c r="E15" s="31"/>
    </row>
    <row r="17" spans="1:14" x14ac:dyDescent="0.45">
      <c r="A17" s="31" t="s">
        <v>21</v>
      </c>
      <c r="B17" s="31"/>
      <c r="C17" s="31"/>
      <c r="D17" s="31"/>
      <c r="E17" s="31"/>
      <c r="F17" s="31"/>
      <c r="G17" s="31"/>
      <c r="H17" s="31"/>
      <c r="I17" s="31"/>
      <c r="J17" s="31"/>
      <c r="K17" s="31"/>
      <c r="L17" s="31"/>
      <c r="M17" s="31"/>
      <c r="N17" s="31"/>
    </row>
    <row r="18" spans="1:14" x14ac:dyDescent="0.45">
      <c r="A18" s="31" t="s">
        <v>22</v>
      </c>
      <c r="B18" s="31"/>
      <c r="C18" s="31"/>
      <c r="D18" s="31"/>
      <c r="E18" s="31"/>
      <c r="F18" s="31"/>
      <c r="G18" s="31"/>
      <c r="H18" s="31"/>
      <c r="I18" s="31"/>
    </row>
    <row r="19" spans="1:14" x14ac:dyDescent="0.45">
      <c r="A19" s="31" t="s">
        <v>23</v>
      </c>
      <c r="B19" s="31"/>
      <c r="C19" s="31"/>
      <c r="D19" s="31"/>
      <c r="E19" s="31"/>
      <c r="F19" s="31"/>
      <c r="G19" s="31"/>
    </row>
    <row r="21" spans="1:14" x14ac:dyDescent="0.45">
      <c r="A21" t="s">
        <v>15</v>
      </c>
    </row>
    <row r="22" spans="1:14" x14ac:dyDescent="0.45">
      <c r="A22" s="31" t="s">
        <v>16</v>
      </c>
      <c r="B22" s="31"/>
      <c r="C22" s="31"/>
      <c r="D22" s="31"/>
      <c r="E22" s="31"/>
      <c r="F22" s="31"/>
      <c r="G22" s="31"/>
      <c r="H22" s="31"/>
      <c r="I22" s="31"/>
    </row>
    <row r="23" spans="1:14" x14ac:dyDescent="0.45">
      <c r="A23" s="31" t="s">
        <v>17</v>
      </c>
      <c r="B23" s="31"/>
      <c r="C23" s="31"/>
      <c r="D23" s="31"/>
      <c r="E23" s="31"/>
      <c r="F23" s="31"/>
      <c r="G23" s="31"/>
      <c r="H23" s="31"/>
    </row>
    <row r="25" spans="1:14" x14ac:dyDescent="0.45">
      <c r="A25" s="31" t="s">
        <v>18</v>
      </c>
      <c r="B25" s="31"/>
      <c r="C25" s="31"/>
      <c r="D25" s="31"/>
      <c r="E25" s="31"/>
      <c r="F25" s="31"/>
      <c r="G25" s="31"/>
      <c r="H25" s="31"/>
      <c r="I25" s="31"/>
      <c r="J25" s="31"/>
    </row>
  </sheetData>
  <mergeCells count="9">
    <mergeCell ref="A19:G19"/>
    <mergeCell ref="A22:I22"/>
    <mergeCell ref="A23:H23"/>
    <mergeCell ref="A25:J25"/>
    <mergeCell ref="A1:K1"/>
    <mergeCell ref="A14:D14"/>
    <mergeCell ref="A15:E15"/>
    <mergeCell ref="A17:N17"/>
    <mergeCell ref="A18:I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0CE8-2955-4685-97F9-209F201C8F7D}">
  <dimension ref="A1:D34"/>
  <sheetViews>
    <sheetView topLeftCell="A12" zoomScaleNormal="100" workbookViewId="0">
      <selection activeCell="D29" sqref="D29:D34"/>
    </sheetView>
  </sheetViews>
  <sheetFormatPr defaultRowHeight="14.25" x14ac:dyDescent="0.45"/>
  <cols>
    <col min="2" max="2" width="11.1328125" bestFit="1" customWidth="1"/>
    <col min="4" max="4" width="10.1328125" customWidth="1"/>
  </cols>
  <sheetData>
    <row r="1" spans="1:4" x14ac:dyDescent="0.45">
      <c r="C1" s="27" t="s">
        <v>13</v>
      </c>
      <c r="D1" s="29"/>
    </row>
    <row r="2" spans="1:4" x14ac:dyDescent="0.45">
      <c r="A2" s="2" t="s">
        <v>0</v>
      </c>
      <c r="B2" s="2" t="s">
        <v>1</v>
      </c>
      <c r="C2" s="1">
        <v>2017</v>
      </c>
      <c r="D2" s="3">
        <v>2024</v>
      </c>
    </row>
    <row r="3" spans="1:4" x14ac:dyDescent="0.45">
      <c r="A3">
        <v>1</v>
      </c>
      <c r="B3" s="8" t="s">
        <v>51</v>
      </c>
      <c r="C3" s="8">
        <v>7427</v>
      </c>
      <c r="D3" s="8">
        <v>8038</v>
      </c>
    </row>
    <row r="4" spans="1:4" x14ac:dyDescent="0.45">
      <c r="A4">
        <v>2</v>
      </c>
      <c r="B4" s="8" t="s">
        <v>52</v>
      </c>
      <c r="C4" s="8">
        <v>19081</v>
      </c>
      <c r="D4" s="8">
        <v>6637</v>
      </c>
    </row>
    <row r="5" spans="1:4" x14ac:dyDescent="0.45">
      <c r="A5">
        <v>3</v>
      </c>
      <c r="B5" s="8" t="s">
        <v>2</v>
      </c>
      <c r="C5" s="8">
        <v>12023</v>
      </c>
      <c r="D5" s="8">
        <v>10506</v>
      </c>
    </row>
    <row r="6" spans="1:4" x14ac:dyDescent="0.45">
      <c r="A6">
        <v>4</v>
      </c>
      <c r="B6" s="8" t="s">
        <v>3</v>
      </c>
      <c r="C6" s="8">
        <v>5204</v>
      </c>
      <c r="D6" s="8">
        <v>5561</v>
      </c>
    </row>
    <row r="7" spans="1:4" x14ac:dyDescent="0.45">
      <c r="A7">
        <v>5</v>
      </c>
      <c r="B7" s="8" t="s">
        <v>53</v>
      </c>
      <c r="C7" s="8">
        <v>22030</v>
      </c>
      <c r="D7" s="8">
        <v>19628</v>
      </c>
    </row>
    <row r="8" spans="1:4" x14ac:dyDescent="0.45">
      <c r="A8">
        <v>6</v>
      </c>
      <c r="B8" s="8" t="s">
        <v>54</v>
      </c>
      <c r="C8" s="8">
        <v>3940</v>
      </c>
      <c r="D8" s="8">
        <v>997</v>
      </c>
    </row>
    <row r="14" spans="1:4" x14ac:dyDescent="0.45">
      <c r="C14" s="27" t="s">
        <v>11</v>
      </c>
      <c r="D14" s="29"/>
    </row>
    <row r="15" spans="1:4" x14ac:dyDescent="0.45">
      <c r="A15" s="2" t="s">
        <v>0</v>
      </c>
      <c r="B15" s="2" t="s">
        <v>1</v>
      </c>
      <c r="C15" s="1">
        <v>2017</v>
      </c>
      <c r="D15" s="3">
        <v>2024</v>
      </c>
    </row>
    <row r="16" spans="1:4" x14ac:dyDescent="0.45">
      <c r="A16">
        <v>1</v>
      </c>
      <c r="B16" s="8" t="s">
        <v>51</v>
      </c>
      <c r="C16" s="8">
        <v>0.47568359349000006</v>
      </c>
      <c r="D16" s="8">
        <v>0.58626871216199994</v>
      </c>
    </row>
    <row r="17" spans="1:4" x14ac:dyDescent="0.45">
      <c r="A17">
        <v>2</v>
      </c>
      <c r="B17" s="8" t="s">
        <v>52</v>
      </c>
      <c r="C17" s="8">
        <v>0.60295917131999999</v>
      </c>
      <c r="D17" s="8">
        <v>6.7414599936000005E-2</v>
      </c>
    </row>
    <row r="18" spans="1:4" x14ac:dyDescent="0.45">
      <c r="A18">
        <v>3</v>
      </c>
      <c r="B18" s="8" t="s">
        <v>2</v>
      </c>
      <c r="C18" s="8">
        <v>1.6394227612619998</v>
      </c>
      <c r="D18" s="8">
        <v>1.415728481238</v>
      </c>
    </row>
    <row r="19" spans="1:4" x14ac:dyDescent="0.45">
      <c r="A19">
        <v>4</v>
      </c>
      <c r="B19" s="8" t="s">
        <v>3</v>
      </c>
      <c r="C19" s="8">
        <v>0.17178472821499999</v>
      </c>
      <c r="D19" s="8">
        <v>0.25958942875399998</v>
      </c>
    </row>
    <row r="20" spans="1:4" x14ac:dyDescent="0.45">
      <c r="A20">
        <v>5</v>
      </c>
      <c r="B20" s="8" t="s">
        <v>53</v>
      </c>
      <c r="C20" s="8">
        <v>4.1887988145639996</v>
      </c>
      <c r="D20" s="8">
        <v>3.1462369371280001</v>
      </c>
    </row>
    <row r="21" spans="1:4" x14ac:dyDescent="0.45">
      <c r="A21">
        <v>6</v>
      </c>
      <c r="B21" s="8" t="s">
        <v>54</v>
      </c>
      <c r="C21" s="8">
        <v>5.4455053775999997E-2</v>
      </c>
      <c r="D21" s="8">
        <v>4.2053655420000004E-3</v>
      </c>
    </row>
    <row r="27" spans="1:4" x14ac:dyDescent="0.45">
      <c r="C27" s="27" t="s">
        <v>12</v>
      </c>
      <c r="D27" s="29"/>
    </row>
    <row r="28" spans="1:4" x14ac:dyDescent="0.45">
      <c r="A28" s="2" t="s">
        <v>0</v>
      </c>
      <c r="B28" s="2" t="s">
        <v>1</v>
      </c>
      <c r="C28" s="1">
        <v>2017</v>
      </c>
      <c r="D28" s="3">
        <v>2024</v>
      </c>
    </row>
    <row r="29" spans="1:4" x14ac:dyDescent="0.45">
      <c r="A29">
        <v>1</v>
      </c>
      <c r="B29" s="8" t="s">
        <v>51</v>
      </c>
      <c r="C29" s="8">
        <v>0.59450265558460424</v>
      </c>
      <c r="D29" s="8">
        <v>0.67920277720859656</v>
      </c>
    </row>
    <row r="30" spans="1:4" x14ac:dyDescent="0.45">
      <c r="A30">
        <v>2</v>
      </c>
      <c r="B30" s="8" t="s">
        <v>52</v>
      </c>
      <c r="C30" s="8">
        <v>6.202659027407714</v>
      </c>
      <c r="D30" s="8">
        <v>6.9071727460879515</v>
      </c>
    </row>
    <row r="31" spans="1:4" x14ac:dyDescent="0.45">
      <c r="A31">
        <v>3</v>
      </c>
      <c r="B31" s="8" t="s">
        <v>2</v>
      </c>
      <c r="C31" s="8">
        <v>1.7410410322271193</v>
      </c>
      <c r="D31" s="8">
        <v>1.510295725452045</v>
      </c>
    </row>
    <row r="32" spans="1:4" x14ac:dyDescent="0.45">
      <c r="A32">
        <v>4</v>
      </c>
      <c r="B32" s="8" t="s">
        <v>3</v>
      </c>
      <c r="C32" s="8">
        <v>0.60713727017318964</v>
      </c>
      <c r="D32" s="8">
        <v>0.50993521887660687</v>
      </c>
    </row>
    <row r="33" spans="1:4" x14ac:dyDescent="0.45">
      <c r="A33">
        <v>5</v>
      </c>
      <c r="B33" s="8" t="s">
        <v>53</v>
      </c>
      <c r="C33" s="8">
        <v>4.3732604319751101</v>
      </c>
      <c r="D33" s="8">
        <v>3.3513020452998448</v>
      </c>
    </row>
    <row r="34" spans="1:4" x14ac:dyDescent="0.45">
      <c r="A34">
        <v>6</v>
      </c>
      <c r="B34" s="8" t="s">
        <v>54</v>
      </c>
      <c r="C34" s="8">
        <v>2.2773639078442565</v>
      </c>
      <c r="D34" s="8">
        <v>1.1147932663531734</v>
      </c>
    </row>
  </sheetData>
  <mergeCells count="3">
    <mergeCell ref="C1:D1"/>
    <mergeCell ref="C14:D14"/>
    <mergeCell ref="C27:D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333C1-D0FF-4B34-A65A-DE67D8788908}">
  <dimension ref="A1:G14"/>
  <sheetViews>
    <sheetView workbookViewId="0">
      <selection activeCell="C19" sqref="C19"/>
    </sheetView>
  </sheetViews>
  <sheetFormatPr defaultRowHeight="14.25" x14ac:dyDescent="0.45"/>
  <cols>
    <col min="1" max="1" width="16.46484375" bestFit="1" customWidth="1"/>
    <col min="2" max="2" width="11.86328125" customWidth="1"/>
  </cols>
  <sheetData>
    <row r="1" spans="1:7" x14ac:dyDescent="0.45">
      <c r="A1" t="s">
        <v>31</v>
      </c>
    </row>
    <row r="3" spans="1:7" ht="14.65" thickBot="1" x14ac:dyDescent="0.5">
      <c r="A3" t="s">
        <v>32</v>
      </c>
    </row>
    <row r="4" spans="1:7" x14ac:dyDescent="0.45">
      <c r="A4" s="14" t="s">
        <v>33</v>
      </c>
      <c r="B4" s="14" t="s">
        <v>34</v>
      </c>
      <c r="C4" s="14" t="s">
        <v>35</v>
      </c>
      <c r="D4" s="14" t="s">
        <v>36</v>
      </c>
      <c r="E4" s="14" t="s">
        <v>37</v>
      </c>
    </row>
    <row r="5" spans="1:7" x14ac:dyDescent="0.45">
      <c r="A5">
        <v>2017</v>
      </c>
      <c r="B5">
        <v>6</v>
      </c>
      <c r="C5">
        <v>69705</v>
      </c>
      <c r="D5">
        <v>11617.5</v>
      </c>
      <c r="E5">
        <v>56385139.5</v>
      </c>
    </row>
    <row r="6" spans="1:7" ht="14.65" thickBot="1" x14ac:dyDescent="0.5">
      <c r="A6" s="13">
        <v>2024</v>
      </c>
      <c r="B6" s="13">
        <v>6</v>
      </c>
      <c r="C6" s="13">
        <v>51367</v>
      </c>
      <c r="D6" s="13">
        <v>8561.1666666666661</v>
      </c>
      <c r="E6" s="13">
        <v>39290182.966666661</v>
      </c>
    </row>
    <row r="9" spans="1:7" ht="14.65" thickBot="1" x14ac:dyDescent="0.5">
      <c r="A9" t="s">
        <v>38</v>
      </c>
    </row>
    <row r="10" spans="1:7" x14ac:dyDescent="0.45">
      <c r="A10" s="14" t="s">
        <v>39</v>
      </c>
      <c r="B10" s="14" t="s">
        <v>40</v>
      </c>
      <c r="C10" s="14" t="s">
        <v>41</v>
      </c>
      <c r="D10" s="14" t="s">
        <v>42</v>
      </c>
      <c r="E10" s="14" t="s">
        <v>43</v>
      </c>
      <c r="F10" s="14" t="s">
        <v>44</v>
      </c>
      <c r="G10" s="14" t="s">
        <v>45</v>
      </c>
    </row>
    <row r="11" spans="1:7" x14ac:dyDescent="0.45">
      <c r="A11" t="s">
        <v>46</v>
      </c>
      <c r="B11">
        <v>28023520.333333373</v>
      </c>
      <c r="C11">
        <v>1</v>
      </c>
      <c r="D11">
        <v>28023520.333333373</v>
      </c>
      <c r="E11">
        <v>0.58580456508201018</v>
      </c>
      <c r="F11" s="15">
        <v>0.46172795817477752</v>
      </c>
      <c r="G11">
        <v>4.9646027437307128</v>
      </c>
    </row>
    <row r="12" spans="1:7" x14ac:dyDescent="0.45">
      <c r="A12" t="s">
        <v>47</v>
      </c>
      <c r="B12">
        <v>478376612.33333337</v>
      </c>
      <c r="C12">
        <v>10</v>
      </c>
      <c r="D12">
        <v>47837661.233333334</v>
      </c>
    </row>
    <row r="14" spans="1:7" ht="14.65" thickBot="1" x14ac:dyDescent="0.5">
      <c r="A14" s="13" t="s">
        <v>48</v>
      </c>
      <c r="B14" s="13">
        <v>506400132.66666675</v>
      </c>
      <c r="C14" s="13">
        <v>11</v>
      </c>
      <c r="D14" s="13"/>
      <c r="E14" s="13"/>
      <c r="F14" s="13"/>
      <c r="G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01FB-D44B-4332-A3DC-7FDC8CCB1C0E}">
  <dimension ref="B3:V43"/>
  <sheetViews>
    <sheetView zoomScale="90" zoomScaleNormal="90" workbookViewId="0">
      <selection activeCell="I19" sqref="I19"/>
    </sheetView>
  </sheetViews>
  <sheetFormatPr defaultRowHeight="14.25" x14ac:dyDescent="0.45"/>
  <cols>
    <col min="19" max="19" width="12" customWidth="1"/>
  </cols>
  <sheetData>
    <row r="3" spans="2:5" x14ac:dyDescent="0.45">
      <c r="D3" s="27" t="s">
        <v>13</v>
      </c>
      <c r="E3" s="29"/>
    </row>
    <row r="4" spans="2:5" x14ac:dyDescent="0.45">
      <c r="B4" s="2" t="s">
        <v>0</v>
      </c>
      <c r="C4" s="2" t="s">
        <v>1</v>
      </c>
      <c r="D4" s="1">
        <v>2017</v>
      </c>
      <c r="E4" s="3">
        <v>2024</v>
      </c>
    </row>
    <row r="5" spans="2:5" x14ac:dyDescent="0.45">
      <c r="B5">
        <v>1</v>
      </c>
      <c r="C5" s="8" t="s">
        <v>51</v>
      </c>
      <c r="D5" s="8">
        <v>7427</v>
      </c>
      <c r="E5" s="8">
        <v>8038</v>
      </c>
    </row>
    <row r="6" spans="2:5" x14ac:dyDescent="0.45">
      <c r="B6">
        <v>2</v>
      </c>
      <c r="C6" s="8" t="s">
        <v>52</v>
      </c>
      <c r="D6" s="8">
        <v>19081</v>
      </c>
      <c r="E6" s="8">
        <v>6637</v>
      </c>
    </row>
    <row r="7" spans="2:5" x14ac:dyDescent="0.45">
      <c r="B7">
        <v>3</v>
      </c>
      <c r="C7" s="8" t="s">
        <v>2</v>
      </c>
      <c r="D7" s="8">
        <v>12023</v>
      </c>
      <c r="E7" s="8">
        <v>10506</v>
      </c>
    </row>
    <row r="8" spans="2:5" x14ac:dyDescent="0.45">
      <c r="B8">
        <v>4</v>
      </c>
      <c r="C8" s="8" t="s">
        <v>3</v>
      </c>
      <c r="D8" s="8">
        <v>5204</v>
      </c>
      <c r="E8" s="8">
        <v>5561</v>
      </c>
    </row>
    <row r="9" spans="2:5" x14ac:dyDescent="0.45">
      <c r="B9">
        <v>5</v>
      </c>
      <c r="C9" s="8" t="s">
        <v>53</v>
      </c>
      <c r="D9" s="8">
        <v>22030</v>
      </c>
      <c r="E9" s="8">
        <v>19628</v>
      </c>
    </row>
    <row r="10" spans="2:5" x14ac:dyDescent="0.45">
      <c r="B10">
        <v>6</v>
      </c>
      <c r="C10" s="8" t="s">
        <v>54</v>
      </c>
      <c r="D10" s="8">
        <v>3940</v>
      </c>
      <c r="E10" s="8">
        <v>997</v>
      </c>
    </row>
    <row r="36" spans="19:22" x14ac:dyDescent="0.45">
      <c r="T36" s="35" t="s">
        <v>30</v>
      </c>
      <c r="U36" s="35"/>
      <c r="V36" s="35"/>
    </row>
    <row r="37" spans="19:22" x14ac:dyDescent="0.45">
      <c r="S37" t="s">
        <v>29</v>
      </c>
      <c r="T37">
        <v>2017</v>
      </c>
      <c r="U37">
        <v>2024</v>
      </c>
    </row>
    <row r="38" spans="19:22" x14ac:dyDescent="0.45">
      <c r="S38" s="8" t="s">
        <v>51</v>
      </c>
      <c r="T38" s="8">
        <v>8.4161579999999994</v>
      </c>
      <c r="U38" s="8">
        <v>10.760317000000001</v>
      </c>
    </row>
    <row r="39" spans="19:22" x14ac:dyDescent="0.45">
      <c r="S39" s="8" t="s">
        <v>52</v>
      </c>
      <c r="T39" s="8">
        <v>0.17858099999999999</v>
      </c>
      <c r="U39" s="8">
        <v>0.146204</v>
      </c>
    </row>
    <row r="40" spans="19:22" x14ac:dyDescent="0.45">
      <c r="S40" s="8" t="s">
        <v>2</v>
      </c>
      <c r="T40" s="8">
        <v>9.8407499999999999</v>
      </c>
      <c r="U40" s="8">
        <v>10.574486</v>
      </c>
    </row>
    <row r="41" spans="19:22" x14ac:dyDescent="0.45">
      <c r="S41" s="8" t="s">
        <v>3</v>
      </c>
      <c r="T41" s="8">
        <v>2.2969889999999999</v>
      </c>
      <c r="U41" s="8">
        <v>3.994475</v>
      </c>
    </row>
    <row r="42" spans="19:22" x14ac:dyDescent="0.45">
      <c r="S42" s="8" t="s">
        <v>53</v>
      </c>
      <c r="T42" s="8">
        <v>5.4211819999999999</v>
      </c>
      <c r="U42" s="8">
        <v>4.8765000000000001</v>
      </c>
    </row>
    <row r="43" spans="19:22" x14ac:dyDescent="0.45">
      <c r="S43" s="8" t="s">
        <v>54</v>
      </c>
      <c r="T43" s="8">
        <v>0.44986100000000001</v>
      </c>
      <c r="U43" s="8">
        <v>0.900424</v>
      </c>
    </row>
  </sheetData>
  <mergeCells count="2">
    <mergeCell ref="T36:V36"/>
    <mergeCell ref="D3:E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A0301-D031-4F25-A1B5-63F3DFF171BA}">
  <dimension ref="A1:S28"/>
  <sheetViews>
    <sheetView tabSelected="1" workbookViewId="0">
      <selection activeCell="L11" sqref="L11"/>
    </sheetView>
  </sheetViews>
  <sheetFormatPr defaultRowHeight="14.25" x14ac:dyDescent="0.45"/>
  <cols>
    <col min="2" max="2" width="12.86328125" customWidth="1"/>
    <col min="11" max="11" width="12" customWidth="1"/>
    <col min="12" max="12" width="14" customWidth="1"/>
    <col min="13" max="13" width="37.33203125" customWidth="1"/>
    <col min="14" max="14" width="17.33203125" customWidth="1"/>
    <col min="15" max="15" width="49.86328125" customWidth="1"/>
    <col min="17" max="17" width="11.1328125" bestFit="1" customWidth="1"/>
    <col min="18" max="18" width="14.33203125" customWidth="1"/>
    <col min="19" max="19" width="18.33203125" customWidth="1"/>
    <col min="20" max="20" width="24.1328125" customWidth="1"/>
    <col min="21" max="21" width="66" customWidth="1"/>
  </cols>
  <sheetData>
    <row r="1" spans="1:19" x14ac:dyDescent="0.45">
      <c r="C1" s="27" t="s">
        <v>11</v>
      </c>
      <c r="D1" s="28"/>
      <c r="E1" s="29"/>
      <c r="F1" s="27" t="s">
        <v>12</v>
      </c>
      <c r="G1" s="28"/>
      <c r="H1" s="29"/>
    </row>
    <row r="2" spans="1:19" x14ac:dyDescent="0.45">
      <c r="A2" s="2" t="s">
        <v>0</v>
      </c>
      <c r="B2" s="3" t="s">
        <v>1</v>
      </c>
      <c r="C2" s="17">
        <v>2017</v>
      </c>
      <c r="D2" s="18"/>
      <c r="E2" s="19">
        <v>2024</v>
      </c>
      <c r="F2" s="17">
        <v>2016</v>
      </c>
      <c r="G2" s="18"/>
      <c r="H2" s="19">
        <v>2024</v>
      </c>
    </row>
    <row r="3" spans="1:19" ht="15" customHeight="1" x14ac:dyDescent="0.45">
      <c r="A3">
        <v>1</v>
      </c>
      <c r="B3" s="8" t="s">
        <v>51</v>
      </c>
      <c r="C3" s="8">
        <v>0.47568359349000006</v>
      </c>
      <c r="D3" s="16"/>
      <c r="E3">
        <v>0.58626871216199994</v>
      </c>
      <c r="F3">
        <v>0.59450265558460424</v>
      </c>
      <c r="G3" s="16"/>
      <c r="H3">
        <v>0.67920277720859656</v>
      </c>
      <c r="P3" s="4"/>
      <c r="Q3" s="4"/>
      <c r="R3" s="4"/>
    </row>
    <row r="4" spans="1:19" x14ac:dyDescent="0.45">
      <c r="A4">
        <v>2</v>
      </c>
      <c r="B4" s="8" t="s">
        <v>52</v>
      </c>
      <c r="C4" s="8">
        <v>0.60295917131999999</v>
      </c>
      <c r="D4" s="16"/>
      <c r="E4">
        <v>6.7414599936000005E-2</v>
      </c>
      <c r="F4">
        <v>6.202659027407714</v>
      </c>
      <c r="G4" s="16"/>
      <c r="H4">
        <v>6.9071727460879515</v>
      </c>
    </row>
    <row r="5" spans="1:19" x14ac:dyDescent="0.45">
      <c r="A5">
        <v>3</v>
      </c>
      <c r="B5" s="8" t="s">
        <v>2</v>
      </c>
      <c r="C5" s="8">
        <v>1.6394227612619998</v>
      </c>
      <c r="D5" s="16"/>
      <c r="E5">
        <v>1.415728481238</v>
      </c>
      <c r="F5">
        <v>1.7410410322271193</v>
      </c>
      <c r="G5" s="16"/>
      <c r="H5">
        <v>1.510295725452045</v>
      </c>
    </row>
    <row r="6" spans="1:19" x14ac:dyDescent="0.45">
      <c r="A6">
        <v>4</v>
      </c>
      <c r="B6" s="8" t="s">
        <v>3</v>
      </c>
      <c r="C6" s="8">
        <v>0.17178472821499999</v>
      </c>
      <c r="D6" s="16"/>
      <c r="E6">
        <v>0.25958942875399998</v>
      </c>
      <c r="F6">
        <v>0.60713727017318964</v>
      </c>
      <c r="G6" s="16"/>
      <c r="H6">
        <v>0.50993521887660687</v>
      </c>
    </row>
    <row r="7" spans="1:19" x14ac:dyDescent="0.45">
      <c r="B7" s="8" t="s">
        <v>53</v>
      </c>
      <c r="C7" s="8">
        <v>4.1887988145639996</v>
      </c>
      <c r="E7">
        <v>3.1462369371280001</v>
      </c>
      <c r="F7">
        <v>4.3732604319751101</v>
      </c>
      <c r="H7">
        <v>3.3513020452998448</v>
      </c>
    </row>
    <row r="8" spans="1:19" ht="18" x14ac:dyDescent="0.55000000000000004">
      <c r="B8" s="8" t="s">
        <v>54</v>
      </c>
      <c r="C8" s="8">
        <v>5.4455053775999997E-2</v>
      </c>
      <c r="E8">
        <v>4.2053655420000004E-3</v>
      </c>
      <c r="F8">
        <v>2.2773639078442565</v>
      </c>
      <c r="H8">
        <v>1.1147932663531734</v>
      </c>
      <c r="K8" s="30" t="s">
        <v>25</v>
      </c>
      <c r="L8" s="30"/>
      <c r="M8" s="30"/>
      <c r="N8" s="20"/>
      <c r="O8" s="30" t="s">
        <v>26</v>
      </c>
      <c r="P8" s="30"/>
      <c r="Q8" s="30"/>
      <c r="R8" s="30"/>
      <c r="S8" s="30"/>
    </row>
    <row r="9" spans="1:19" x14ac:dyDescent="0.45">
      <c r="K9" s="21" t="s">
        <v>1</v>
      </c>
      <c r="L9" s="21" t="s">
        <v>24</v>
      </c>
      <c r="M9" s="21" t="s">
        <v>27</v>
      </c>
      <c r="O9" s="24" t="s">
        <v>1</v>
      </c>
      <c r="P9" s="24" t="s">
        <v>24</v>
      </c>
      <c r="Q9" s="24"/>
      <c r="R9" s="24"/>
      <c r="S9" s="24"/>
    </row>
    <row r="10" spans="1:19" ht="61.5" customHeight="1" x14ac:dyDescent="0.45">
      <c r="K10" s="21" t="s">
        <v>51</v>
      </c>
      <c r="L10" s="22">
        <f>((E3-C3)/C3)*100</f>
        <v>23.24762093656792</v>
      </c>
      <c r="M10" s="23" t="s">
        <v>57</v>
      </c>
      <c r="O10" s="21" t="s">
        <v>51</v>
      </c>
      <c r="P10" s="22">
        <f>((H3-F3)/F3)*100</f>
        <v>14.247223427572825</v>
      </c>
      <c r="Q10" s="21" t="s">
        <v>28</v>
      </c>
      <c r="R10" s="24"/>
      <c r="S10" s="24"/>
    </row>
    <row r="11" spans="1:19" ht="63.75" customHeight="1" x14ac:dyDescent="0.45">
      <c r="K11" s="21" t="s">
        <v>52</v>
      </c>
      <c r="L11" s="22">
        <f t="shared" ref="L10:L15" si="0">((E4-C4)/C4)*100</f>
        <v>-88.819375648865957</v>
      </c>
      <c r="M11" s="23" t="s">
        <v>58</v>
      </c>
      <c r="O11" s="21" t="s">
        <v>52</v>
      </c>
      <c r="P11" s="22">
        <f t="shared" ref="P11:P15" si="1">((H4-F4)/F4)*100</f>
        <v>11.358253219582117</v>
      </c>
      <c r="Q11" s="21" t="s">
        <v>28</v>
      </c>
      <c r="R11" s="24"/>
      <c r="S11" s="24"/>
    </row>
    <row r="12" spans="1:19" ht="60" customHeight="1" x14ac:dyDescent="0.45">
      <c r="K12" s="21" t="s">
        <v>2</v>
      </c>
      <c r="L12" s="22">
        <f t="shared" si="0"/>
        <v>-13.644697713712587</v>
      </c>
      <c r="M12" s="23" t="s">
        <v>59</v>
      </c>
      <c r="O12" s="21" t="s">
        <v>2</v>
      </c>
      <c r="P12" s="22">
        <f t="shared" si="1"/>
        <v>-13.253295155250161</v>
      </c>
      <c r="Q12" s="21" t="s">
        <v>28</v>
      </c>
      <c r="R12" s="24"/>
      <c r="S12" s="24"/>
    </row>
    <row r="13" spans="1:19" ht="124.5" customHeight="1" x14ac:dyDescent="0.45">
      <c r="K13" s="21" t="s">
        <v>3</v>
      </c>
      <c r="L13" s="22">
        <f t="shared" si="0"/>
        <v>51.113216786713764</v>
      </c>
      <c r="M13" s="23" t="s">
        <v>60</v>
      </c>
      <c r="O13" s="21" t="s">
        <v>3</v>
      </c>
      <c r="P13" s="22">
        <f t="shared" si="1"/>
        <v>-16.009896949474918</v>
      </c>
      <c r="Q13" s="25" t="s">
        <v>63</v>
      </c>
      <c r="R13" s="26"/>
      <c r="S13" s="24"/>
    </row>
    <row r="14" spans="1:19" ht="28.5" x14ac:dyDescent="0.45">
      <c r="K14" s="21" t="s">
        <v>53</v>
      </c>
      <c r="L14" s="22">
        <f t="shared" si="0"/>
        <v>-24.88928028271792</v>
      </c>
      <c r="M14" s="23" t="s">
        <v>61</v>
      </c>
      <c r="O14" s="24" t="s">
        <v>53</v>
      </c>
      <c r="P14" s="22">
        <f t="shared" si="1"/>
        <v>-23.368340453799931</v>
      </c>
      <c r="Q14" s="23"/>
      <c r="R14" s="24"/>
      <c r="S14" s="24"/>
    </row>
    <row r="15" spans="1:19" ht="28.5" x14ac:dyDescent="0.45">
      <c r="K15" s="21" t="s">
        <v>54</v>
      </c>
      <c r="L15" s="22">
        <f t="shared" si="0"/>
        <v>-92.27736408213147</v>
      </c>
      <c r="M15" s="23" t="s">
        <v>62</v>
      </c>
      <c r="O15" s="24" t="s">
        <v>54</v>
      </c>
      <c r="P15" s="22">
        <f t="shared" si="1"/>
        <v>-51.048962244754627</v>
      </c>
      <c r="Q15" s="24"/>
      <c r="R15" s="24"/>
      <c r="S15" s="24"/>
    </row>
    <row r="23" spans="15:15" ht="142.5" customHeight="1" x14ac:dyDescent="0.45"/>
    <row r="25" spans="15:15" x14ac:dyDescent="0.45">
      <c r="O25" s="5"/>
    </row>
    <row r="26" spans="15:15" x14ac:dyDescent="0.45">
      <c r="O26" s="5"/>
    </row>
    <row r="27" spans="15:15" x14ac:dyDescent="0.45">
      <c r="O27" s="5"/>
    </row>
    <row r="28" spans="15:15" x14ac:dyDescent="0.45">
      <c r="O28" s="5"/>
    </row>
  </sheetData>
  <mergeCells count="5">
    <mergeCell ref="Q13:R13"/>
    <mergeCell ref="C1:E1"/>
    <mergeCell ref="F1:H1"/>
    <mergeCell ref="K8:M8"/>
    <mergeCell ref="O8:S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Fragmentation_2017</vt:lpstr>
      <vt:lpstr>Fragmentation_2024</vt:lpstr>
      <vt:lpstr>NUMP</vt:lpstr>
      <vt:lpstr>ANOVA output</vt:lpstr>
      <vt:lpstr>Plots</vt:lpstr>
      <vt:lpstr>Fragmentation Interpretation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Benjamin Fraser</cp:lastModifiedBy>
  <dcterms:created xsi:type="dcterms:W3CDTF">2025-07-10T15:23:15Z</dcterms:created>
  <dcterms:modified xsi:type="dcterms:W3CDTF">2026-05-22T21:46:38Z</dcterms:modified>
</cp:coreProperties>
</file>